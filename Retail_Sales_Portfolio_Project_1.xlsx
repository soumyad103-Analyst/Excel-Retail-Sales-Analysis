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soumy\OneDrive\Documents\BA\Excel\"/>
    </mc:Choice>
  </mc:AlternateContent>
  <xr:revisionPtr revIDLastSave="0" documentId="13_ncr:1_{800B28E3-807E-4A7D-B623-E40259A938ED}" xr6:coauthVersionLast="47" xr6:coauthVersionMax="47" xr10:uidLastSave="{00000000-0000-0000-0000-000000000000}"/>
  <bookViews>
    <workbookView xWindow="-110" yWindow="-110" windowWidth="19420" windowHeight="11020" activeTab="3" xr2:uid="{00000000-000D-0000-FFFF-FFFF00000000}"/>
  </bookViews>
  <sheets>
    <sheet name="Project_Blueprint" sheetId="2" r:id="rId1"/>
    <sheet name="Raw_Data" sheetId="1" r:id="rId2"/>
    <sheet name="Pivot_calculations" sheetId="3" r:id="rId3"/>
    <sheet name="Dashboard" sheetId="4" r:id="rId4"/>
    <sheet name="Insights" sheetId="5" r:id="rId5"/>
  </sheets>
  <definedNames>
    <definedName name="Slicer_Product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8" i="3" l="1"/>
  <c r="M7" i="4" s="1"/>
  <c r="A12" i="4"/>
  <c r="R7" i="4"/>
  <c r="R12" i="4"/>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2" i="1"/>
  <c r="A7" i="4"/>
  <c r="G9" i="4" l="1"/>
  <c r="M12" i="4"/>
</calcChain>
</file>

<file path=xl/sharedStrings.xml><?xml version="1.0" encoding="utf-8"?>
<sst xmlns="http://schemas.openxmlformats.org/spreadsheetml/2006/main" count="4921" uniqueCount="116">
  <si>
    <t>Order Date</t>
  </si>
  <si>
    <t>Region</t>
  </si>
  <si>
    <t>City</t>
  </si>
  <si>
    <t>Product Category</t>
  </si>
  <si>
    <t>Product Name</t>
  </si>
  <si>
    <t>Quantity Sold</t>
  </si>
  <si>
    <t>Sales Amount</t>
  </si>
  <si>
    <t>Cost</t>
  </si>
  <si>
    <t>Profit</t>
  </si>
  <si>
    <t>East</t>
  </si>
  <si>
    <t>South</t>
  </si>
  <si>
    <t>West</t>
  </si>
  <si>
    <t>North</t>
  </si>
  <si>
    <t>Kolkata</t>
  </si>
  <si>
    <t>Bangalore</t>
  </si>
  <si>
    <t>Bhubaneswar</t>
  </si>
  <si>
    <t>Mumbai</t>
  </si>
  <si>
    <t>Ahmedabad</t>
  </si>
  <si>
    <t>Pune</t>
  </si>
  <si>
    <t>Chennai</t>
  </si>
  <si>
    <t>Patna</t>
  </si>
  <si>
    <t>Jaipur</t>
  </si>
  <si>
    <t>Hyderabad</t>
  </si>
  <si>
    <t>Delhi</t>
  </si>
  <si>
    <t>Chandigarh</t>
  </si>
  <si>
    <t>Clothing</t>
  </si>
  <si>
    <t>Accessories</t>
  </si>
  <si>
    <t>Electronics</t>
  </si>
  <si>
    <t>Furniture</t>
  </si>
  <si>
    <t>Jacket</t>
  </si>
  <si>
    <t>Wallet</t>
  </si>
  <si>
    <t>Headphones</t>
  </si>
  <si>
    <t>Jeans</t>
  </si>
  <si>
    <t>T-Shirt</t>
  </si>
  <si>
    <t>Bag</t>
  </si>
  <si>
    <t>Belt</t>
  </si>
  <si>
    <t>Table</t>
  </si>
  <si>
    <t>Shirt</t>
  </si>
  <si>
    <t>Laptop</t>
  </si>
  <si>
    <t>Chair</t>
  </si>
  <si>
    <t>Tablet</t>
  </si>
  <si>
    <t>Smartphone</t>
  </si>
  <si>
    <t>Sofa</t>
  </si>
  <si>
    <t>Watch</t>
  </si>
  <si>
    <t>Cupboard</t>
  </si>
  <si>
    <t>Retail Sales Performance Analysis</t>
  </si>
  <si>
    <t>Business Questions</t>
  </si>
  <si>
    <t>KPIs</t>
  </si>
  <si>
    <t>Total sales</t>
  </si>
  <si>
    <t>Total Profit</t>
  </si>
  <si>
    <t>Profit Marin %</t>
  </si>
  <si>
    <t>Average Discount %</t>
  </si>
  <si>
    <t>Sales per Order</t>
  </si>
  <si>
    <t>Sum of sales amount</t>
  </si>
  <si>
    <t>A retail company wants to understand its sales performance across regions, product categories, and time to improve profitability and operational decisions.</t>
  </si>
  <si>
    <t>Which regions contribute the highest share of total sales and profit?</t>
  </si>
  <si>
    <t>Do regions with higher sales also maintain healthy profit margins?</t>
  </si>
  <si>
    <t>Which product categories are consistently underperforming in profitability?</t>
  </si>
  <si>
    <t>How do discount levels impact overall profit margins?</t>
  </si>
  <si>
    <t>Are there observable seasonal trends in sales performance?</t>
  </si>
  <si>
    <t>Sum of (sales amount-cost)</t>
  </si>
  <si>
    <t>Total profit / Total sales</t>
  </si>
  <si>
    <t>Total Sales / No of Orders</t>
  </si>
  <si>
    <t>Average Discount applied per Order</t>
  </si>
  <si>
    <t>Sales Contribution % by Region</t>
  </si>
  <si>
    <t>Region wise Revenue / Total Sales</t>
  </si>
  <si>
    <t>Profit_margin %</t>
  </si>
  <si>
    <t>Discount %</t>
  </si>
  <si>
    <t>Month_name</t>
  </si>
  <si>
    <t>Month_Number</t>
  </si>
  <si>
    <t>Data cleaning and preparation record</t>
  </si>
  <si>
    <t>Sales_contribution %</t>
  </si>
  <si>
    <t>Region, City, Product_category, Product_name have no errors.</t>
  </si>
  <si>
    <t>Order dates are converted to short dates and month is extracted for seasonal patterns observation.</t>
  </si>
  <si>
    <t>Converted sales, cost and profit to numbers while discount is percentage for calculations.</t>
  </si>
  <si>
    <t>No rows deleted.</t>
  </si>
  <si>
    <t>Added Columns- Month_name, Month_number, Profit_margin %, Sales_contribution %.</t>
  </si>
  <si>
    <t>Sum of Sales Amount</t>
  </si>
  <si>
    <t>Sum of Cost</t>
  </si>
  <si>
    <t>Sum of Profit</t>
  </si>
  <si>
    <t>Sum of Profit_Margin_%</t>
  </si>
  <si>
    <t>Grand Total</t>
  </si>
  <si>
    <t>Product_category</t>
  </si>
  <si>
    <t>Disount %</t>
  </si>
  <si>
    <t>Month_number</t>
  </si>
  <si>
    <t>Q3(July-Sept) has seasonal Uplift. Since, Average sales (9.89) and Profit (9.64) increases from Overall average of 8.33 (sales) and 8.33 (profit). Suggesting potential demand that can be leveraged by inventory and marketing planning.</t>
  </si>
  <si>
    <t>Profit Margins remain relatively stable across discount %. However, sales falls from 2.38Cr to 1.82Cr as discount increases from 5% to 20%. Suggesting diminishing returns from aggressive discounting</t>
  </si>
  <si>
    <t>West-Furniture has weak performance with just 54.07 lakh Total sales. Since, furniture's average sale is 65.21 lakh and in west its less than that, its due to low demand</t>
  </si>
  <si>
    <t>Accessories contribute lowest to Total sales and Profit but has decent Profit margin (32.00%),suggesting less demand even after correct pricing.</t>
  </si>
  <si>
    <t>Sum of Quantity</t>
  </si>
  <si>
    <t>West's underperformance is primarily volume-driven, as profit magrings are comparble to other regions but total quantities sold are lower,indicating to weaker demand rather than pricing inefficiencies.</t>
  </si>
  <si>
    <t>Accessories are non Core products hence, their have low volume sales and low revenue. Suggesting there are supporting products and not the core revenue drivers.</t>
  </si>
  <si>
    <t>Sales uplift in Q3 shows potential demand due to large volumes rather than high pricing and seasonal demand pattern that can be leveraged.</t>
  </si>
  <si>
    <t>Higher discounting does not result in  higher purchase volume, suggesting price inelastic demand for products. Hence, aggressive discounting may erase profit and may slow down growth.</t>
  </si>
  <si>
    <t>Sales &amp; Profitability Performance Dashboard</t>
  </si>
  <si>
    <t>Total Sales</t>
  </si>
  <si>
    <t>Profit Margin %</t>
  </si>
  <si>
    <t>Average of Profit_margin %</t>
  </si>
  <si>
    <t>Average Sales(Region)</t>
  </si>
  <si>
    <t>Average Order Value</t>
  </si>
  <si>
    <t>Count of Order Date</t>
  </si>
  <si>
    <t>(Best) East Sales</t>
  </si>
  <si>
    <t>(Worst) West Sales</t>
  </si>
  <si>
    <t>Key Insights</t>
  </si>
  <si>
    <t>Root Cause Hypotheses</t>
  </si>
  <si>
    <t>Recommendations</t>
  </si>
  <si>
    <t>Recommendation | KPI Impact | Priority | Owner</t>
  </si>
  <si>
    <t>Regionally, profit remains stable, But West region underperforms in both Sales and Profit.</t>
  </si>
  <si>
    <t>Higher discounts does not drive higher purchase volume, suggesting price inelastic demand for products. Hence, aggressive discounting may erase profit and may slow down growth.</t>
  </si>
  <si>
    <t>Promoting furniture products in west and Accessories | Total sales Increase, Total Profit Increase | High | Ops Head</t>
  </si>
  <si>
    <t>Restructure pricing and discount | Total Sales Increase, Total Profit Increase | High | Finance Head</t>
  </si>
  <si>
    <t>Manage Inventory during seasonal High demand | Total Sales Increase | Medium | Ops Head</t>
  </si>
  <si>
    <t>Summary</t>
  </si>
  <si>
    <t>Sales underperformance is driven by two primary factors. First, location-specific demand weakness, particularly in the West region where sales remain below average and furniture performance is notably poor.</t>
  </si>
  <si>
    <t>Second, discounting beyond 5% fails to stimulate demand and instead reduces sales, indicating that performance is volume-driven rather than influenced by pricing or cost inefficiencies.</t>
  </si>
  <si>
    <t>Accessories functions as a supporting category based on volume contribution. Hence,it has low volume sales and revenue. Suggesting that supporting products do not drive core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</si>
</sst>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48"/>
      <color theme="8" tint="-0.499984740745262"/>
      <name val="Calibri"/>
      <family val="2"/>
      <scheme val="minor"/>
    </font>
    <font>
      <b/>
      <sz val="14"/>
      <color theme="1"/>
      <name val="Calibri"/>
      <family val="2"/>
      <scheme val="minor"/>
    </font>
    <font>
      <b/>
      <sz val="18"/>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7"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66">
    <xf numFmtId="0" fontId="0" fillId="0" borderId="0" xfId="0"/>
    <xf numFmtId="0" fontId="1" fillId="0" borderId="1" xfId="0" applyFont="1" applyBorder="1" applyAlignment="1">
      <alignment horizontal="center" vertical="top"/>
    </xf>
    <xf numFmtId="0" fontId="1" fillId="0" borderId="0" xfId="0" applyFont="1"/>
    <xf numFmtId="1" fontId="1" fillId="0" borderId="1" xfId="0" applyNumberFormat="1" applyFont="1" applyBorder="1" applyAlignment="1">
      <alignment horizontal="center" vertical="top"/>
    </xf>
    <xf numFmtId="1" fontId="0" fillId="0" borderId="0" xfId="0" applyNumberFormat="1"/>
    <xf numFmtId="14" fontId="1" fillId="0" borderId="1" xfId="0" applyNumberFormat="1" applyFont="1" applyBorder="1" applyAlignment="1">
      <alignment horizontal="center" vertical="top"/>
    </xf>
    <xf numFmtId="14" fontId="0" fillId="0" borderId="0" xfId="0" applyNumberFormat="1"/>
    <xf numFmtId="9" fontId="1" fillId="0" borderId="1" xfId="1" applyFont="1" applyBorder="1" applyAlignment="1">
      <alignment horizontal="center" vertical="top"/>
    </xf>
    <xf numFmtId="9" fontId="0" fillId="0" borderId="0" xfId="1" applyFont="1"/>
    <xf numFmtId="10" fontId="0" fillId="0" borderId="0" xfId="1" applyNumberFormat="1" applyFont="1"/>
    <xf numFmtId="1" fontId="1" fillId="0" borderId="1" xfId="0" applyNumberFormat="1" applyFont="1" applyFill="1" applyBorder="1" applyAlignment="1">
      <alignment horizontal="center" vertical="top"/>
    </xf>
    <xf numFmtId="1" fontId="1" fillId="0" borderId="2" xfId="0" applyNumberFormat="1" applyFont="1" applyFill="1" applyBorder="1" applyAlignment="1">
      <alignment horizontal="center" vertical="top"/>
    </xf>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9" fontId="0" fillId="0" borderId="0" xfId="0" pivotButton="1" applyNumberFormat="1"/>
    <xf numFmtId="164" fontId="0" fillId="2" borderId="0" xfId="0" applyNumberFormat="1" applyFill="1"/>
    <xf numFmtId="0" fontId="0" fillId="0" borderId="0" xfId="0" applyNumberFormat="1"/>
    <xf numFmtId="0" fontId="4" fillId="0" borderId="0" xfId="0" applyFont="1" applyFill="1" applyAlignment="1"/>
    <xf numFmtId="164" fontId="5" fillId="0" borderId="0" xfId="2" applyNumberFormat="1" applyFont="1" applyAlignment="1">
      <alignment vertical="center"/>
    </xf>
    <xf numFmtId="0" fontId="0" fillId="0" borderId="0" xfId="0" applyAlignment="1">
      <alignment horizontal="center"/>
    </xf>
    <xf numFmtId="164" fontId="5" fillId="0" borderId="0" xfId="2" applyNumberFormat="1" applyFont="1" applyFill="1" applyBorder="1" applyAlignment="1">
      <alignment vertical="center"/>
    </xf>
    <xf numFmtId="164" fontId="4" fillId="0" borderId="0" xfId="2" applyNumberFormat="1" applyFont="1" applyFill="1" applyBorder="1" applyAlignment="1">
      <alignment vertical="center"/>
    </xf>
    <xf numFmtId="0" fontId="0" fillId="0" borderId="0" xfId="0" applyFill="1" applyBorder="1"/>
    <xf numFmtId="0" fontId="1" fillId="0" borderId="0" xfId="0" applyFont="1" applyAlignment="1">
      <alignment horizontal="center"/>
    </xf>
    <xf numFmtId="0" fontId="0" fillId="0" borderId="0" xfId="0" applyAlignment="1">
      <alignment horizontal="center"/>
    </xf>
    <xf numFmtId="164" fontId="5" fillId="6" borderId="6" xfId="2" applyNumberFormat="1" applyFont="1" applyFill="1" applyBorder="1" applyAlignment="1">
      <alignment horizontal="center" vertical="center"/>
    </xf>
    <xf numFmtId="164" fontId="5" fillId="6" borderId="0" xfId="2" applyNumberFormat="1" applyFont="1" applyFill="1" applyBorder="1" applyAlignment="1">
      <alignment horizontal="center" vertical="center"/>
    </xf>
    <xf numFmtId="164" fontId="5" fillId="6" borderId="7" xfId="2" applyNumberFormat="1" applyFont="1" applyFill="1" applyBorder="1" applyAlignment="1">
      <alignment horizontal="center" vertical="center"/>
    </xf>
    <xf numFmtId="164" fontId="5" fillId="6" borderId="8" xfId="2" applyNumberFormat="1" applyFont="1" applyFill="1" applyBorder="1" applyAlignment="1">
      <alignment horizontal="center" vertical="center"/>
    </xf>
    <xf numFmtId="164" fontId="5" fillId="6" borderId="9" xfId="2" applyNumberFormat="1" applyFont="1" applyFill="1" applyBorder="1" applyAlignment="1">
      <alignment horizontal="center" vertical="center"/>
    </xf>
    <xf numFmtId="164" fontId="5" fillId="6" borderId="10" xfId="2" applyNumberFormat="1" applyFont="1" applyFill="1" applyBorder="1" applyAlignment="1">
      <alignment horizontal="center" vertic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5" xfId="0" applyFont="1" applyFill="1" applyBorder="1" applyAlignment="1">
      <alignment horizontal="center"/>
    </xf>
    <xf numFmtId="164" fontId="5" fillId="2" borderId="6" xfId="2" applyNumberFormat="1" applyFont="1" applyFill="1" applyBorder="1" applyAlignment="1">
      <alignment horizontal="center" vertical="center"/>
    </xf>
    <xf numFmtId="164" fontId="5" fillId="2" borderId="0" xfId="2" applyNumberFormat="1" applyFont="1" applyFill="1" applyBorder="1" applyAlignment="1">
      <alignment horizontal="center" vertical="center"/>
    </xf>
    <xf numFmtId="164" fontId="5" fillId="2" borderId="7" xfId="2" applyNumberFormat="1" applyFont="1" applyFill="1" applyBorder="1" applyAlignment="1">
      <alignment horizontal="center" vertical="center"/>
    </xf>
    <xf numFmtId="164" fontId="5" fillId="2" borderId="8" xfId="2" applyNumberFormat="1" applyFont="1" applyFill="1" applyBorder="1" applyAlignment="1">
      <alignment horizontal="center" vertical="center"/>
    </xf>
    <xf numFmtId="164" fontId="5" fillId="2" borderId="9" xfId="2" applyNumberFormat="1" applyFont="1" applyFill="1" applyBorder="1" applyAlignment="1">
      <alignment horizontal="center" vertical="center"/>
    </xf>
    <xf numFmtId="164" fontId="5" fillId="2" borderId="10" xfId="2" applyNumberFormat="1" applyFont="1" applyFill="1" applyBorder="1" applyAlignment="1">
      <alignment horizontal="center" vertic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0"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center"/>
    </xf>
    <xf numFmtId="164" fontId="4" fillId="4" borderId="3" xfId="2" applyNumberFormat="1" applyFont="1" applyFill="1" applyBorder="1" applyAlignment="1">
      <alignment horizontal="center" vertical="center"/>
    </xf>
    <xf numFmtId="164" fontId="4" fillId="4" borderId="5" xfId="2" applyNumberFormat="1" applyFont="1" applyFill="1" applyBorder="1" applyAlignment="1">
      <alignment horizontal="center" vertical="center"/>
    </xf>
    <xf numFmtId="164" fontId="5" fillId="5" borderId="6" xfId="2" applyNumberFormat="1" applyFont="1" applyFill="1" applyBorder="1" applyAlignment="1">
      <alignment horizontal="center" vertical="center"/>
    </xf>
    <xf numFmtId="164" fontId="5" fillId="5" borderId="7" xfId="2" applyNumberFormat="1" applyFont="1" applyFill="1" applyBorder="1" applyAlignment="1">
      <alignment horizontal="center" vertical="center"/>
    </xf>
    <xf numFmtId="164" fontId="5" fillId="5" borderId="8" xfId="2" applyNumberFormat="1" applyFont="1" applyFill="1" applyBorder="1" applyAlignment="1">
      <alignment horizontal="center" vertical="center"/>
    </xf>
    <xf numFmtId="164" fontId="5" fillId="5" borderId="10" xfId="2" applyNumberFormat="1" applyFont="1" applyFill="1" applyBorder="1" applyAlignment="1">
      <alignment horizontal="center" vertical="center"/>
    </xf>
    <xf numFmtId="10" fontId="5" fillId="2" borderId="6" xfId="1" applyNumberFormat="1" applyFont="1" applyFill="1" applyBorder="1" applyAlignment="1">
      <alignment horizontal="center" vertical="center"/>
    </xf>
    <xf numFmtId="10" fontId="5" fillId="2" borderId="0" xfId="1" applyNumberFormat="1" applyFont="1" applyFill="1" applyBorder="1" applyAlignment="1">
      <alignment horizontal="center" vertical="center"/>
    </xf>
    <xf numFmtId="10" fontId="5" fillId="2" borderId="7" xfId="1" applyNumberFormat="1" applyFont="1" applyFill="1" applyBorder="1" applyAlignment="1">
      <alignment horizontal="center" vertical="center"/>
    </xf>
    <xf numFmtId="10" fontId="5" fillId="2" borderId="8" xfId="1" applyNumberFormat="1" applyFont="1" applyFill="1" applyBorder="1" applyAlignment="1">
      <alignment horizontal="center" vertical="center"/>
    </xf>
    <xf numFmtId="10" fontId="5" fillId="2" borderId="9" xfId="1" applyNumberFormat="1" applyFont="1" applyFill="1" applyBorder="1" applyAlignment="1">
      <alignment horizontal="center" vertical="center"/>
    </xf>
    <xf numFmtId="10" fontId="5" fillId="2" borderId="10" xfId="1" applyNumberFormat="1" applyFont="1" applyFill="1" applyBorder="1" applyAlignment="1">
      <alignment horizontal="center" vertical="center"/>
    </xf>
    <xf numFmtId="0" fontId="6" fillId="7" borderId="0" xfId="0" applyFont="1" applyFill="1" applyAlignment="1">
      <alignment horizontal="center"/>
    </xf>
    <xf numFmtId="0" fontId="1" fillId="7" borderId="0" xfId="0" applyFont="1" applyFill="1" applyAlignment="1">
      <alignment horizontal="center"/>
    </xf>
  </cellXfs>
  <cellStyles count="3">
    <cellStyle name="Comma" xfId="2" builtinId="3"/>
    <cellStyle name="Normal" xfId="0" builtinId="0"/>
    <cellStyle name="Percent" xfId="1" builtinId="5"/>
  </cellStyles>
  <dxfs count="26">
    <dxf>
      <numFmt numFmtId="164" formatCode="_ * #,##0_ ;_ * \-#,##0_ ;_ * &quot;-&quot;??_ ;_ @_ "/>
    </dxf>
    <dxf>
      <numFmt numFmtId="13" formatCode="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3" formatCode="0%"/>
    </dxf>
    <dxf>
      <numFmt numFmtId="164" formatCode="_ * #,##0_ ;_ * \-#,##0_ ;_ * &quot;-&quot;??_ ;_ @_ "/>
    </dxf>
    <dxf>
      <numFmt numFmtId="13" formatCode="0%"/>
    </dxf>
    <dxf>
      <fill>
        <patternFill patternType="solid">
          <bgColor theme="6" tint="0.79998168889431442"/>
        </patternFill>
      </fill>
    </dxf>
    <dxf>
      <numFmt numFmtId="164" formatCode="_ * #,##0_ ;_ * \-#,##0_ ;_ * &quot;-&quot;??_ ;_ @_ "/>
    </dxf>
    <dxf>
      <numFmt numFmtId="13" formatCode="0%"/>
    </dxf>
    <dxf>
      <numFmt numFmtId="164" formatCode="_ * #,##0_ ;_ * \-#,##0_ ;_ * &quot;-&quot;??_ ;_ @_ "/>
    </dxf>
    <dxf>
      <numFmt numFmtId="164" formatCode="_ * #,##0_ ;_ * \-#,##0_ ;_ * &quot;-&quot;??_ ;_ @_ "/>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 formatCode="0"/>
    </dxf>
    <dxf>
      <numFmt numFmtId="1" formatCode="0"/>
    </dxf>
    <dxf>
      <font>
        <b val="0"/>
        <i val="0"/>
        <strike val="0"/>
        <condense val="0"/>
        <extend val="0"/>
        <outline val="0"/>
        <shadow val="0"/>
        <u val="none"/>
        <vertAlign val="baseline"/>
        <sz val="11"/>
        <color theme="1"/>
        <name val="Calibri"/>
        <family val="2"/>
        <scheme val="minor"/>
      </font>
    </dxf>
    <dxf>
      <numFmt numFmtId="1" formatCode="0"/>
    </dxf>
    <dxf>
      <numFmt numFmtId="1" formatCode="0"/>
    </dxf>
    <dxf>
      <numFmt numFmtId="1" formatCode="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[Retail_Sales_Portfolio_Project_1.xlsx]Pivot_calculations!KPI_region_pivot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West has Below Average sales (avg 2.69L)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Pivot_calculations!$A$6:$A$10</c:f>
              <c:strCache>
                <c:ptCount val="4"/>
                <c:pt idx="0">
                  <c:v>East</c:v>
                </c:pt>
                <c:pt idx="1">
                  <c:v>North</c:v>
                </c:pt>
                <c:pt idx="2">
                  <c:v>South</c:v>
                </c:pt>
                <c:pt idx="3">
                  <c:v>West</c:v>
                </c:pt>
              </c:strCache>
            </c:strRef>
          </c:cat>
          <c:val>
            <c:numRef>
              <c:f>Pivot_calculations!$B$6:$B$10</c:f>
              <c:numCache>
                <c:formatCode>_ * #,##0_ ;_ * \-#,##0_ ;_ * "-"??_ ;_ @_ </c:formatCode>
                <c:ptCount val="4"/>
                <c:pt idx="0">
                  <c:v>28558983.599999975</c:v>
                </c:pt>
                <c:pt idx="1">
                  <c:v>27595442.699999992</c:v>
                </c:pt>
                <c:pt idx="2">
                  <c:v>26767584.400000006</c:v>
                </c:pt>
                <c:pt idx="3">
                  <c:v>25063417.899999991</c:v>
                </c:pt>
              </c:numCache>
            </c:numRef>
          </c:val>
          <c:extLst>
            <c:ext xmlns:c16="http://schemas.microsoft.com/office/drawing/2014/chart" uri="{C3380CC4-5D6E-409C-BE32-E72D297353CC}">
              <c16:uniqueId val="{00000000-6426-482F-885C-8F734ACEA145}"/>
            </c:ext>
          </c:extLst>
        </c:ser>
        <c:dLbls>
          <c:dLblPos val="outEnd"/>
          <c:showLegendKey val="0"/>
          <c:showVal val="1"/>
          <c:showCatName val="0"/>
          <c:showSerName val="0"/>
          <c:showPercent val="0"/>
          <c:showBubbleSize val="0"/>
        </c:dLbls>
        <c:gapWidth val="219"/>
        <c:overlap val="-27"/>
        <c:axId val="128236688"/>
        <c:axId val="128237168"/>
      </c:barChart>
      <c:catAx>
        <c:axId val="12823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37168"/>
        <c:crosses val="autoZero"/>
        <c:auto val="1"/>
        <c:lblAlgn val="ctr"/>
        <c:lblOffset val="100"/>
        <c:noMultiLvlLbl val="0"/>
      </c:catAx>
      <c:valAx>
        <c:axId val="128237168"/>
        <c:scaling>
          <c:orientation val="minMax"/>
        </c:scaling>
        <c:delete val="1"/>
        <c:axPos val="l"/>
        <c:numFmt formatCode="_ * #,##0_ ;_ * \-#,##0_ ;_ * &quot;-&quot;??_ ;_ @_ " sourceLinked="1"/>
        <c:majorTickMark val="none"/>
        <c:minorTickMark val="none"/>
        <c:tickLblPos val="nextTo"/>
        <c:crossAx val="12823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[Retail_Sales_Portfolio_Project_1.xlsx]Pivot_calculations!Category_performance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Accessories</a:t>
            </a:r>
            <a:r>
              <a:rPr lang="en-US" baseline="0"/>
              <a:t> has low sales volume (Non core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Pivot_calculations!$D$6:$D$10</c:f>
              <c:strCache>
                <c:ptCount val="4"/>
                <c:pt idx="0">
                  <c:v>Accessories</c:v>
                </c:pt>
                <c:pt idx="1">
                  <c:v>Clothing</c:v>
                </c:pt>
                <c:pt idx="2">
                  <c:v>Electronics</c:v>
                </c:pt>
                <c:pt idx="3">
                  <c:v>Furniture</c:v>
                </c:pt>
              </c:strCache>
            </c:strRef>
          </c:cat>
          <c:val>
            <c:numRef>
              <c:f>Pivot_calculations!$E$6:$E$10</c:f>
              <c:numCache>
                <c:formatCode>_ * #,##0_ ;_ * \-#,##0_ ;_ * "-"??_ ;_ @_ </c:formatCode>
                <c:ptCount val="4"/>
                <c:pt idx="0">
                  <c:v>25904378.449999973</c:v>
                </c:pt>
                <c:pt idx="1">
                  <c:v>26542346.150000006</c:v>
                </c:pt>
                <c:pt idx="2">
                  <c:v>29452170.899999987</c:v>
                </c:pt>
                <c:pt idx="3">
                  <c:v>26086533.09999999</c:v>
                </c:pt>
              </c:numCache>
            </c:numRef>
          </c:val>
          <c:extLst>
            <c:ext xmlns:c16="http://schemas.microsoft.com/office/drawing/2014/chart" uri="{C3380CC4-5D6E-409C-BE32-E72D297353CC}">
              <c16:uniqueId val="{00000000-271F-4610-8750-2ECA278B0D50}"/>
            </c:ext>
          </c:extLst>
        </c:ser>
        <c:dLbls>
          <c:dLblPos val="outEnd"/>
          <c:showLegendKey val="0"/>
          <c:showVal val="1"/>
          <c:showCatName val="0"/>
          <c:showSerName val="0"/>
          <c:showPercent val="0"/>
          <c:showBubbleSize val="0"/>
        </c:dLbls>
        <c:gapWidth val="219"/>
        <c:overlap val="-27"/>
        <c:axId val="218312928"/>
        <c:axId val="218314368"/>
      </c:barChart>
      <c:catAx>
        <c:axId val="21831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314368"/>
        <c:crosses val="autoZero"/>
        <c:auto val="1"/>
        <c:lblAlgn val="ctr"/>
        <c:lblOffset val="100"/>
        <c:noMultiLvlLbl val="0"/>
      </c:catAx>
      <c:valAx>
        <c:axId val="218314368"/>
        <c:scaling>
          <c:orientation val="minMax"/>
        </c:scaling>
        <c:delete val="1"/>
        <c:axPos val="l"/>
        <c:numFmt formatCode="_ * #,##0_ ;_ * \-#,##0_ ;_ * &quot;-&quot;??_ ;_ @_ " sourceLinked="1"/>
        <c:majorTickMark val="none"/>
        <c:minorTickMark val="none"/>
        <c:tickLblPos val="nextTo"/>
        <c:crossAx val="21831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[Retail_Sales_Portfolio_Project_1.xlsx]Pivot_calculations!Discount-sales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Higher Discounts Do Not Drive Higher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Pivot_calculations!$N$2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Pivot_calculations!$M$3:$M$8</c:f>
              <c:strCache>
                <c:ptCount val="5"/>
                <c:pt idx="0">
                  <c:v>0%</c:v>
                </c:pt>
                <c:pt idx="1">
                  <c:v>5%</c:v>
                </c:pt>
                <c:pt idx="2">
                  <c:v>10%</c:v>
                </c:pt>
                <c:pt idx="3">
                  <c:v>15%</c:v>
                </c:pt>
                <c:pt idx="4">
                  <c:v>20%</c:v>
                </c:pt>
              </c:strCache>
            </c:strRef>
          </c:cat>
          <c:val>
            <c:numRef>
              <c:f>Pivot_calculations!$N$3:$N$8</c:f>
              <c:numCache>
                <c:formatCode>_ * #,##0_ ;_ * \-#,##0_ ;_ * "-"??_ ;_ @_ </c:formatCode>
                <c:ptCount val="5"/>
                <c:pt idx="0">
                  <c:v>22167111</c:v>
                </c:pt>
                <c:pt idx="1">
                  <c:v>23809279.999999989</c:v>
                </c:pt>
                <c:pt idx="2">
                  <c:v>23366603.699999984</c:v>
                </c:pt>
                <c:pt idx="3">
                  <c:v>20430605.099999998</c:v>
                </c:pt>
                <c:pt idx="4">
                  <c:v>18211828.799999997</c:v>
                </c:pt>
              </c:numCache>
            </c:numRef>
          </c:val>
          <c:smooth val="0"/>
          <c:extLst>
            <c:ext xmlns:c16="http://schemas.microsoft.com/office/drawing/2014/chart" uri="{C3380CC4-5D6E-409C-BE32-E72D297353CC}">
              <c16:uniqueId val="{00000000-F022-46A9-BDE1-4C15A52D6CC3}"/>
            </c:ext>
          </c:extLst>
        </c:ser>
        <c:dLbls>
          <c:dLblPos val="t"/>
          <c:showLegendKey val="0"/>
          <c:showVal val="1"/>
          <c:showCatName val="0"/>
          <c:showSerName val="0"/>
          <c:showPercent val="0"/>
          <c:showBubbleSize val="0"/>
        </c:dLbls>
        <c:smooth val="0"/>
        <c:axId val="118997136"/>
        <c:axId val="118997616"/>
      </c:lineChart>
      <c:catAx>
        <c:axId val="11899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97616"/>
        <c:crosses val="autoZero"/>
        <c:auto val="1"/>
        <c:lblAlgn val="ctr"/>
        <c:lblOffset val="100"/>
        <c:noMultiLvlLbl val="0"/>
      </c:catAx>
      <c:valAx>
        <c:axId val="118997616"/>
        <c:scaling>
          <c:orientation val="minMax"/>
        </c:scaling>
        <c:delete val="1"/>
        <c:axPos val="l"/>
        <c:numFmt formatCode="_ * #,##0_ ;_ * \-#,##0_ ;_ * &quot;-&quot;??_ ;_ @_ " sourceLinked="1"/>
        <c:majorTickMark val="none"/>
        <c:minorTickMark val="none"/>
        <c:tickLblPos val="nextTo"/>
        <c:crossAx val="11899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[Retail_Sales_Portfolio_Project_1.xlsx]Pivot_calculations!Seasonal_pattern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Q3</a:t>
            </a:r>
            <a:r>
              <a:rPr lang="en-US" baseline="0"/>
              <a:t> (July-Sept) has seasonal uplift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Pivot_calculations!$K$2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Pivot_calculations!$J$3:$J$15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Pivot_calculations!$K$3:$K$15</c:f>
              <c:numCache>
                <c:formatCode>_ * #,##0_ ;_ * \-#,##0_ ;_ * "-"??_ ;_ @_ </c:formatCode>
                <c:ptCount val="12"/>
                <c:pt idx="0">
                  <c:v>7895798.1500000041</c:v>
                </c:pt>
                <c:pt idx="1">
                  <c:v>7550652.25</c:v>
                </c:pt>
                <c:pt idx="2">
                  <c:v>9974091.0000000056</c:v>
                </c:pt>
                <c:pt idx="3">
                  <c:v>6895182.8500000006</c:v>
                </c:pt>
                <c:pt idx="4">
                  <c:v>7926196.8500000006</c:v>
                </c:pt>
                <c:pt idx="5">
                  <c:v>10647209.300000001</c:v>
                </c:pt>
                <c:pt idx="6">
                  <c:v>10129542.699999996</c:v>
                </c:pt>
                <c:pt idx="7">
                  <c:v>11254862.850000001</c:v>
                </c:pt>
                <c:pt idx="8">
                  <c:v>6814181.3500000006</c:v>
                </c:pt>
                <c:pt idx="9">
                  <c:v>9561440.9999999981</c:v>
                </c:pt>
                <c:pt idx="10">
                  <c:v>10909981.399999999</c:v>
                </c:pt>
                <c:pt idx="11">
                  <c:v>8426288.9000000004</c:v>
                </c:pt>
              </c:numCache>
            </c:numRef>
          </c:val>
          <c:smooth val="0"/>
          <c:extLst>
            <c:ext xmlns:c16="http://schemas.microsoft.com/office/drawing/2014/chart" uri="{C3380CC4-5D6E-409C-BE32-E72D297353CC}">
              <c16:uniqueId val="{00000000-9195-4F19-9587-80F848F37E3E}"/>
            </c:ext>
          </c:extLst>
        </c:ser>
        <c:dLbls>
          <c:dLblPos val="t"/>
          <c:showLegendKey val="0"/>
          <c:showVal val="1"/>
          <c:showCatName val="0"/>
          <c:showSerName val="0"/>
          <c:showPercent val="0"/>
          <c:showBubbleSize val="0"/>
        </c:dLbls>
        <c:smooth val="0"/>
        <c:axId val="215142736"/>
        <c:axId val="215142256"/>
      </c:lineChart>
      <c:catAx>
        <c:axId val="21514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42256"/>
        <c:crosses val="autoZero"/>
        <c:auto val="1"/>
        <c:lblAlgn val="ctr"/>
        <c:lblOffset val="100"/>
        <c:noMultiLvlLbl val="0"/>
      </c:catAx>
      <c:valAx>
        <c:axId val="215142256"/>
        <c:scaling>
          <c:orientation val="minMax"/>
        </c:scaling>
        <c:delete val="1"/>
        <c:axPos val="l"/>
        <c:numFmt formatCode="_ * #,##0_ ;_ * \-#,##0_ ;_ * &quot;-&quot;??_ ;_ @_ " sourceLinked="1"/>
        <c:majorTickMark val="none"/>
        <c:minorTickMark val="none"/>
        <c:tickLblPos val="nextTo"/>
        <c:crossAx val="21514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5993</xdr:rowOff>
    </xdr:from>
    <xdr:to>
      <xdr:col>9</xdr:col>
      <xdr:colOff>233947</xdr:colOff>
      <xdr:row>29</xdr:row>
      <xdr:rowOff>146596</xdr:rowOff>
    </xdr:to>
    <xdr:graphicFrame macro="">
      <xdr:nvGraphicFramePr>
        <xdr:cNvPr id="2" name="Chart 1">
          <a:extLst>
            <a:ext uri="{FF2B5EF4-FFF2-40B4-BE49-F238E27FC236}">
              <a16:creationId xmlns:a16="http://schemas.microsoft.com/office/drawing/2014/main" id="{B45C9A09-368A-4E90-89F4-4C47DE6CF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152</xdr:rowOff>
    </xdr:from>
    <xdr:to>
      <xdr:col>10</xdr:col>
      <xdr:colOff>565090</xdr:colOff>
      <xdr:row>46</xdr:row>
      <xdr:rowOff>5825</xdr:rowOff>
    </xdr:to>
    <xdr:graphicFrame macro="">
      <xdr:nvGraphicFramePr>
        <xdr:cNvPr id="3" name="Chart 2">
          <a:extLst>
            <a:ext uri="{FF2B5EF4-FFF2-40B4-BE49-F238E27FC236}">
              <a16:creationId xmlns:a16="http://schemas.microsoft.com/office/drawing/2014/main" id="{6A585784-D8CD-4307-A67F-32ABF2C29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237382</xdr:colOff>
      <xdr:row>15</xdr:row>
      <xdr:rowOff>754</xdr:rowOff>
    </xdr:from>
    <xdr:to>
      <xdr:col>19</xdr:col>
      <xdr:colOff>607549</xdr:colOff>
      <xdr:row>29</xdr:row>
      <xdr:rowOff>143192</xdr:rowOff>
    </xdr:to>
    <xdr:graphicFrame macro="">
      <xdr:nvGraphicFramePr>
        <xdr:cNvPr id="4" name="Chart 3">
          <a:extLst>
            <a:ext uri="{FF2B5EF4-FFF2-40B4-BE49-F238E27FC236}">
              <a16:creationId xmlns:a16="http://schemas.microsoft.com/office/drawing/2014/main" id="{2E857683-996A-4474-9B4E-9D4319977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594220</xdr:colOff>
      <xdr:row>29</xdr:row>
      <xdr:rowOff>181784</xdr:rowOff>
    </xdr:from>
    <xdr:to>
      <xdr:col>20</xdr:col>
      <xdr:colOff>2956</xdr:colOff>
      <xdr:row>46</xdr:row>
      <xdr:rowOff>17477</xdr:rowOff>
    </xdr:to>
    <xdr:graphicFrame macro="">
      <xdr:nvGraphicFramePr>
        <xdr:cNvPr id="5" name="Chart 4">
          <a:extLst>
            <a:ext uri="{FF2B5EF4-FFF2-40B4-BE49-F238E27FC236}">
              <a16:creationId xmlns:a16="http://schemas.microsoft.com/office/drawing/2014/main" id="{8506F8EC-CDB7-419A-AD1A-CBCEA1646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380257</xdr:colOff>
      <xdr:row>23</xdr:row>
      <xdr:rowOff>18221</xdr:rowOff>
    </xdr:from>
    <xdr:to>
      <xdr:col>12</xdr:col>
      <xdr:colOff>64799</xdr:colOff>
      <xdr:row>31</xdr:row>
      <xdr:rowOff>22445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24CB002-6805-4C54-A134-EF6EF1908B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29275" y="4451882"/>
              <a:ext cx="1555524" cy="1455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243580</xdr:colOff>
      <xdr:row>15</xdr:row>
      <xdr:rowOff>908</xdr:rowOff>
    </xdr:from>
    <xdr:to>
      <xdr:col>12</xdr:col>
      <xdr:colOff>204658</xdr:colOff>
      <xdr:row>23</xdr:row>
      <xdr:rowOff>5132</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EECEC473-1E86-4660-9062-E1745A2C7AE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992598" y="2983140"/>
              <a:ext cx="1832060" cy="1455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das" refreshedDate="46056.679605787038" createdVersion="8" refreshedVersion="8" minRefreshableVersion="3" recordCount="1200" xr:uid="{238897A1-EDC6-4B0F-A17F-CB3FA0D02318}">
  <cacheSource type="worksheet">
    <worksheetSource name="Table1"/>
  </cacheSource>
  <cacheFields count="16">
    <cacheField name="Order Date" numFmtId="14">
      <sharedItems containsSemiMixedTypes="0" containsNonDate="0" containsDate="1" containsString="0" minDate="2023-01-01T00:00:00" maxDate="2024-01-01T00:00:00"/>
    </cacheField>
    <cacheField name="Region" numFmtId="0">
      <sharedItems count="4">
        <s v="East"/>
        <s v="South"/>
        <s v="West"/>
        <s v="North"/>
      </sharedItems>
    </cacheField>
    <cacheField name="City" numFmtId="0">
      <sharedItems/>
    </cacheField>
    <cacheField name="Product Category" numFmtId="0">
      <sharedItems count="4">
        <s v="Clothing"/>
        <s v="Accessories"/>
        <s v="Electronics"/>
        <s v="Furniture"/>
      </sharedItems>
    </cacheField>
    <cacheField name="Product Name" numFmtId="0">
      <sharedItems/>
    </cacheField>
    <cacheField name="Quantity Sold" numFmtId="1">
      <sharedItems containsSemiMixedTypes="0" containsString="0" containsNumber="1" containsInteger="1" minValue="1" maxValue="7"/>
    </cacheField>
    <cacheField name="Sales Amount" numFmtId="1">
      <sharedItems containsSemiMixedTypes="0" containsString="0" containsNumber="1" minValue="607.75" maxValue="329620.55"/>
    </cacheField>
    <cacheField name="Cost" numFmtId="1">
      <sharedItems containsSemiMixedTypes="0" containsString="0" containsNumber="1" minValue="412.11" maxValue="250461.27"/>
    </cacheField>
    <cacheField name="Discount %" numFmtId="9">
      <sharedItems containsSemiMixedTypes="0" containsString="0" containsNumber="1" minValue="0" maxValue="0.2" count="5">
        <n v="0.05"/>
        <n v="0.2"/>
        <n v="0.1"/>
        <n v="0"/>
        <n v="0.15"/>
      </sharedItems>
    </cacheField>
    <cacheField name="Profit" numFmtId="1">
      <sharedItems containsSemiMixedTypes="0" containsString="0" containsNumber="1" minValue="184.18" maxValue="122413.38"/>
    </cacheField>
    <cacheField name="Month_name" numFmtId="1">
      <sharedItems/>
    </cacheField>
    <cacheField name="Month_Number" numFmtId="0">
      <sharedItems containsSemiMixedTypes="0" containsString="0" containsNumber="1" containsInteger="1" minValue="1" maxValue="12" count="12">
        <n v="11"/>
        <n v="10"/>
        <n v="2"/>
        <n v="9"/>
        <n v="12"/>
        <n v="7"/>
        <n v="5"/>
        <n v="6"/>
        <n v="8"/>
        <n v="3"/>
        <n v="1"/>
        <n v="4"/>
      </sharedItems>
    </cacheField>
    <cacheField name="Profit_margin %" numFmtId="10">
      <sharedItems containsSemiMixedTypes="0" containsString="0" containsNumber="1" minValue="0.20013356335911847" maxValue="0.44999710815500288"/>
    </cacheField>
    <cacheField name="Sales_contribution %" numFmtId="10">
      <sharedItems containsSemiMixedTypes="0" containsString="0" containsNumber="1" minValue="5.6280741566644933E-6" maxValue="3.0524539678495046E-3"/>
    </cacheField>
    <cacheField name="Profit_Margin_%" numFmtId="0" formula="Profit/'Sales Amount'" databaseField="0"/>
    <cacheField name="Quantity" numFmtId="0" formula="'Quantity Sold'" databaseField="0"/>
  </cacheFields>
  <extLst>
    <ext xmlns:x14="http://schemas.microsoft.com/office/spreadsheetml/2009/9/main" uri="{725AE2AE-9491-48be-B2B4-4EB974FC3084}">
      <x14:pivotCacheDefinition pivotCacheId="1172073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d v="2023-11-27T00:00:00"/>
    <x v="0"/>
    <s v="Kolkata"/>
    <x v="0"/>
    <s v="Jacket"/>
    <n v="5"/>
    <n v="55974"/>
    <n v="32968.61"/>
    <x v="0"/>
    <n v="23005.39"/>
    <s v="November"/>
    <x v="0"/>
    <n v="0.41100135777325186"/>
    <n v="5.1834771344325516E-4"/>
  </r>
  <r>
    <d v="2023-10-21T00:00:00"/>
    <x v="0"/>
    <s v="Kolkata"/>
    <x v="1"/>
    <s v="Wallet"/>
    <n v="3"/>
    <n v="5244"/>
    <n v="4155.75"/>
    <x v="1"/>
    <n v="1088.25"/>
    <s v="October"/>
    <x v="1"/>
    <n v="0.2075228832951945"/>
    <n v="4.8562107573095194E-5"/>
  </r>
  <r>
    <d v="2023-02-18T00:00:00"/>
    <x v="1"/>
    <s v="Bangalore"/>
    <x v="2"/>
    <s v="Headphones"/>
    <n v="2"/>
    <n v="46708.800000000003"/>
    <n v="30733.75"/>
    <x v="1"/>
    <n v="15975.05"/>
    <s v="February"/>
    <x v="2"/>
    <n v="0.34201371047853935"/>
    <n v="4.3254724832383462E-4"/>
  </r>
  <r>
    <d v="2023-09-01T00:00:00"/>
    <x v="0"/>
    <s v="Bhubaneswar"/>
    <x v="0"/>
    <s v="Jeans"/>
    <n v="4"/>
    <n v="11689.2"/>
    <n v="7546.73"/>
    <x v="2"/>
    <n v="4142.47"/>
    <s v="September"/>
    <x v="3"/>
    <n v="0.35438438900865754"/>
    <n v="1.0824793818524491E-4"/>
  </r>
  <r>
    <d v="2023-10-01T00:00:00"/>
    <x v="2"/>
    <s v="Mumbai"/>
    <x v="0"/>
    <s v="T-Shirt"/>
    <n v="3"/>
    <n v="101054.39999999999"/>
    <n v="66961.149999999994"/>
    <x v="1"/>
    <n v="34093.25"/>
    <s v="October"/>
    <x v="1"/>
    <n v="0.33737521572539148"/>
    <n v="9.3581514941544442E-4"/>
  </r>
  <r>
    <d v="2023-12-06T00:00:00"/>
    <x v="2"/>
    <s v="Mumbai"/>
    <x v="1"/>
    <s v="Bag"/>
    <n v="2"/>
    <n v="87002"/>
    <n v="48198.37"/>
    <x v="3"/>
    <n v="38803.629999999997"/>
    <s v="December"/>
    <x v="4"/>
    <n v="0.44600848256361919"/>
    <n v="8.056827770927589E-4"/>
  </r>
  <r>
    <d v="2023-02-19T00:00:00"/>
    <x v="2"/>
    <s v="Ahmedabad"/>
    <x v="1"/>
    <s v="Belt"/>
    <n v="4"/>
    <n v="63572.4"/>
    <n v="49416.74"/>
    <x v="2"/>
    <n v="14155.66"/>
    <s v="February"/>
    <x v="2"/>
    <n v="0.22266990077454996"/>
    <n v="5.8871276267731445E-4"/>
  </r>
  <r>
    <d v="2023-07-10T00:00:00"/>
    <x v="2"/>
    <s v="Pune"/>
    <x v="3"/>
    <s v="Table"/>
    <n v="6"/>
    <n v="70976.7"/>
    <n v="42317.27"/>
    <x v="4"/>
    <n v="28659.43"/>
    <s v="July"/>
    <x v="5"/>
    <n v="0.40378645386443723"/>
    <n v="6.5728034717454334E-4"/>
  </r>
  <r>
    <d v="2023-10-31T00:00:00"/>
    <x v="1"/>
    <s v="Chennai"/>
    <x v="1"/>
    <s v="Bag"/>
    <n v="2"/>
    <n v="45996.9"/>
    <n v="32173.68"/>
    <x v="4"/>
    <n v="13823.22"/>
    <s v="October"/>
    <x v="1"/>
    <n v="0.30052503538281927"/>
    <n v="4.2595469218705229E-4"/>
  </r>
  <r>
    <d v="2023-12-04T00:00:00"/>
    <x v="0"/>
    <s v="Patna"/>
    <x v="0"/>
    <s v="Shirt"/>
    <n v="1"/>
    <n v="19802.400000000001"/>
    <n v="12815.51"/>
    <x v="1"/>
    <n v="6986.89"/>
    <s v="December"/>
    <x v="4"/>
    <n v="0.35283046499414211"/>
    <n v="1.8338029729318464E-4"/>
  </r>
  <r>
    <d v="2023-02-10T00:00:00"/>
    <x v="0"/>
    <s v="Kolkata"/>
    <x v="1"/>
    <s v="Bag"/>
    <n v="1"/>
    <n v="18481.55"/>
    <n v="12672.32"/>
    <x v="4"/>
    <n v="5809.23"/>
    <s v="February"/>
    <x v="2"/>
    <n v="0.31432590881176092"/>
    <n v="1.7114855438930918E-4"/>
  </r>
  <r>
    <d v="2023-05-16T00:00:00"/>
    <x v="3"/>
    <s v="Jaipur"/>
    <x v="2"/>
    <s v="Laptop"/>
    <n v="1"/>
    <n v="41274"/>
    <n v="30669.11"/>
    <x v="3"/>
    <n v="10604.89"/>
    <s v="May"/>
    <x v="6"/>
    <n v="0.25693875078742062"/>
    <n v="3.8221823569258793E-4"/>
  </r>
  <r>
    <d v="2023-09-18T00:00:00"/>
    <x v="2"/>
    <s v="Ahmedabad"/>
    <x v="0"/>
    <s v="Jacket"/>
    <n v="1"/>
    <n v="30293.1"/>
    <n v="22645.42"/>
    <x v="2"/>
    <n v="7647.68"/>
    <s v="September"/>
    <x v="3"/>
    <n v="0.25245616988687197"/>
    <n v="2.8052951581283939E-4"/>
  </r>
  <r>
    <d v="2023-02-02T00:00:00"/>
    <x v="1"/>
    <s v="Hyderabad"/>
    <x v="3"/>
    <s v="Chair"/>
    <n v="4"/>
    <n v="92648"/>
    <n v="65393.23"/>
    <x v="3"/>
    <n v="27254.77"/>
    <s v="February"/>
    <x v="2"/>
    <n v="0.29417548139193506"/>
    <n v="8.5796760915944387E-4"/>
  </r>
  <r>
    <d v="2023-02-04T00:00:00"/>
    <x v="2"/>
    <s v="Ahmedabad"/>
    <x v="0"/>
    <s v="Jeans"/>
    <n v="5"/>
    <n v="133101.5"/>
    <n v="94420.79"/>
    <x v="4"/>
    <n v="38680.71"/>
    <s v="February"/>
    <x v="2"/>
    <n v="0.29061062422286749"/>
    <n v="1.2325875974714589E-3"/>
  </r>
  <r>
    <d v="2023-09-12T00:00:00"/>
    <x v="3"/>
    <s v="Jaipur"/>
    <x v="2"/>
    <s v="Tablet"/>
    <n v="6"/>
    <n v="166596"/>
    <n v="121687.11"/>
    <x v="3"/>
    <n v="44908.89"/>
    <s v="September"/>
    <x v="3"/>
    <n v="0.26956763667795147"/>
    <n v="1.542763705806134E-3"/>
  </r>
  <r>
    <d v="2023-06-28T00:00:00"/>
    <x v="1"/>
    <s v="Hyderabad"/>
    <x v="0"/>
    <s v="T-Shirt"/>
    <n v="7"/>
    <n v="146419.70000000001"/>
    <n v="81461.3"/>
    <x v="0"/>
    <n v="64958.400000000001"/>
    <s v="June"/>
    <x v="7"/>
    <n v="0.44364521987136973"/>
    <n v="1.3559209043135635E-3"/>
  </r>
  <r>
    <d v="2023-08-19T00:00:00"/>
    <x v="0"/>
    <s v="Bhubaneswar"/>
    <x v="2"/>
    <s v="Headphones"/>
    <n v="5"/>
    <n v="194016.75"/>
    <n v="150729.99"/>
    <x v="4"/>
    <n v="43286.76"/>
    <s v="August"/>
    <x v="8"/>
    <n v="0.22310836564368799"/>
    <n v="1.7966937994817538E-3"/>
  </r>
  <r>
    <d v="2023-10-11T00:00:00"/>
    <x v="3"/>
    <s v="Jaipur"/>
    <x v="0"/>
    <s v="T-Shirt"/>
    <n v="4"/>
    <n v="60112.800000000003"/>
    <n v="43503.41"/>
    <x v="2"/>
    <n v="16609.39"/>
    <s v="October"/>
    <x v="1"/>
    <n v="0.276303715681186"/>
    <n v="5.5667510681158602E-4"/>
  </r>
  <r>
    <d v="2023-02-13T00:00:00"/>
    <x v="1"/>
    <s v="Chennai"/>
    <x v="2"/>
    <s v="Smartphone"/>
    <n v="1"/>
    <n v="37842"/>
    <n v="28416.240000000002"/>
    <x v="4"/>
    <n v="9425.76"/>
    <s v="February"/>
    <x v="2"/>
    <n v="0.24908197241160615"/>
    <n v="3.5043616986671784E-4"/>
  </r>
  <r>
    <d v="2023-07-09T00:00:00"/>
    <x v="2"/>
    <s v="Pune"/>
    <x v="3"/>
    <s v="Sofa"/>
    <n v="2"/>
    <n v="18241"/>
    <n v="11657.36"/>
    <x v="4"/>
    <n v="6583.64"/>
    <s v="July"/>
    <x v="5"/>
    <n v="0.36092538786250755"/>
    <n v="1.6892093902380425E-4"/>
  </r>
  <r>
    <d v="2023-09-16T00:00:00"/>
    <x v="3"/>
    <s v="Delhi"/>
    <x v="2"/>
    <s v="Tablet"/>
    <n v="6"/>
    <n v="37107.599999999999"/>
    <n v="23679.93"/>
    <x v="4"/>
    <n v="13427.67"/>
    <s v="September"/>
    <x v="3"/>
    <n v="0.36185767875044467"/>
    <n v="3.4363525228439873E-4"/>
  </r>
  <r>
    <d v="2023-06-21T00:00:00"/>
    <x v="0"/>
    <s v="Patna"/>
    <x v="1"/>
    <s v="Belt"/>
    <n v="1"/>
    <n v="4248"/>
    <n v="2463.6999999999998"/>
    <x v="3"/>
    <n v="1784.3"/>
    <s v="June"/>
    <x v="7"/>
    <n v="0.42003295668549906"/>
    <n v="3.9338640917335692E-5"/>
  </r>
  <r>
    <d v="2023-10-22T00:00:00"/>
    <x v="2"/>
    <s v="Ahmedabad"/>
    <x v="0"/>
    <s v="Jeans"/>
    <n v="1"/>
    <n v="44722.2"/>
    <n v="35357.9"/>
    <x v="0"/>
    <n v="9364.2999999999993"/>
    <s v="October"/>
    <x v="1"/>
    <n v="0.20938817857797692"/>
    <n v="4.1415032175924442E-4"/>
  </r>
  <r>
    <d v="2023-05-10T00:00:00"/>
    <x v="1"/>
    <s v="Hyderabad"/>
    <x v="2"/>
    <s v="Laptop"/>
    <n v="1"/>
    <n v="25405.200000000001"/>
    <n v="17844.39"/>
    <x v="2"/>
    <n v="7560.81"/>
    <s v="May"/>
    <x v="6"/>
    <n v="0.29760875726229274"/>
    <n v="2.3526507538443897E-4"/>
  </r>
  <r>
    <d v="2023-08-06T00:00:00"/>
    <x v="2"/>
    <s v="Pune"/>
    <x v="0"/>
    <s v="T-Shirt"/>
    <n v="1"/>
    <n v="44856.15"/>
    <n v="30624.799999999999"/>
    <x v="0"/>
    <n v="14231.35"/>
    <s v="August"/>
    <x v="8"/>
    <n v="0.31726641720254634"/>
    <n v="4.1539076689833983E-4"/>
  </r>
  <r>
    <d v="2023-10-21T00:00:00"/>
    <x v="2"/>
    <s v="Pune"/>
    <x v="1"/>
    <s v="Belt"/>
    <n v="4"/>
    <n v="120492"/>
    <n v="73565.179999999993"/>
    <x v="2"/>
    <n v="46926.82"/>
    <s v="October"/>
    <x v="1"/>
    <n v="0.38946004714005911"/>
    <n v="1.1158172131383269E-3"/>
  </r>
  <r>
    <d v="2023-05-24T00:00:00"/>
    <x v="2"/>
    <s v="Mumbai"/>
    <x v="1"/>
    <s v="Bag"/>
    <n v="6"/>
    <n v="129648.6"/>
    <n v="97769.04"/>
    <x v="2"/>
    <n v="31879.56"/>
    <s v="May"/>
    <x v="6"/>
    <n v="0.24589204974060652"/>
    <n v="1.2006119870139568E-3"/>
  </r>
  <r>
    <d v="2023-12-12T00:00:00"/>
    <x v="3"/>
    <s v="Delhi"/>
    <x v="1"/>
    <s v="Belt"/>
    <n v="6"/>
    <n v="87523.199999999997"/>
    <n v="61066.97"/>
    <x v="2"/>
    <n v="26456.23"/>
    <s v="December"/>
    <x v="4"/>
    <n v="0.30227676775986251"/>
    <n v="8.1050935422225879E-4"/>
  </r>
  <r>
    <d v="2023-05-08T00:00:00"/>
    <x v="0"/>
    <s v="Bhubaneswar"/>
    <x v="0"/>
    <s v="Shirt"/>
    <n v="7"/>
    <n v="131089"/>
    <n v="94742.53"/>
    <x v="3"/>
    <n v="36346.47"/>
    <s v="May"/>
    <x v="6"/>
    <n v="0.27726559818138824"/>
    <n v="1.2139508237317841E-3"/>
  </r>
  <r>
    <d v="2023-05-31T00:00:00"/>
    <x v="0"/>
    <s v="Patna"/>
    <x v="1"/>
    <s v="Watch"/>
    <n v="3"/>
    <n v="25965"/>
    <n v="15017.33"/>
    <x v="3"/>
    <n v="10947.67"/>
    <s v="May"/>
    <x v="6"/>
    <n v="0.42163181205468903"/>
    <n v="2.4044910814939295E-4"/>
  </r>
  <r>
    <d v="2023-03-01T00:00:00"/>
    <x v="0"/>
    <s v="Patna"/>
    <x v="3"/>
    <s v="Sofa"/>
    <n v="7"/>
    <n v="314830.95"/>
    <n v="250461.27"/>
    <x v="0"/>
    <n v="64369.68"/>
    <s v="March"/>
    <x v="9"/>
    <n v="0.20445791622456433"/>
    <n v="2.9154947485201667E-3"/>
  </r>
  <r>
    <d v="2023-01-09T00:00:00"/>
    <x v="3"/>
    <s v="Chandigarh"/>
    <x v="2"/>
    <s v="Headphones"/>
    <n v="6"/>
    <n v="102873.60000000001"/>
    <n v="79280.47"/>
    <x v="1"/>
    <n v="23593.13"/>
    <s v="January"/>
    <x v="10"/>
    <n v="0.22934095822446185"/>
    <n v="9.5266186682524141E-4"/>
  </r>
  <r>
    <d v="2023-03-16T00:00:00"/>
    <x v="3"/>
    <s v="Jaipur"/>
    <x v="0"/>
    <s v="Shirt"/>
    <n v="3"/>
    <n v="14997"/>
    <n v="10655.49"/>
    <x v="3"/>
    <n v="4341.51"/>
    <s v="March"/>
    <x v="9"/>
    <n v="0.28949189837967593"/>
    <n v="1.3887984883175221E-4"/>
  </r>
  <r>
    <d v="2023-12-15T00:00:00"/>
    <x v="3"/>
    <s v="Chandigarh"/>
    <x v="1"/>
    <s v="Wallet"/>
    <n v="6"/>
    <n v="293124"/>
    <n v="209840.27"/>
    <x v="3"/>
    <n v="83283.73"/>
    <s v="December"/>
    <x v="4"/>
    <n v="0.28412456844202449"/>
    <n v="2.714477349400449E-3"/>
  </r>
  <r>
    <d v="2023-10-16T00:00:00"/>
    <x v="1"/>
    <s v="Chennai"/>
    <x v="3"/>
    <s v="Table"/>
    <n v="6"/>
    <n v="241026"/>
    <n v="175477.73"/>
    <x v="4"/>
    <n v="65548.27"/>
    <s v="October"/>
    <x v="1"/>
    <n v="0.2719551832582377"/>
    <n v="2.2320233676416555E-3"/>
  </r>
  <r>
    <d v="2023-06-25T00:00:00"/>
    <x v="1"/>
    <s v="Bangalore"/>
    <x v="1"/>
    <s v="Wallet"/>
    <n v="7"/>
    <n v="241402"/>
    <n v="151362.72"/>
    <x v="3"/>
    <n v="90039.28"/>
    <s v="June"/>
    <x v="7"/>
    <n v="0.37298481371322523"/>
    <n v="2.2355053189092918E-3"/>
  </r>
  <r>
    <d v="2023-09-21T00:00:00"/>
    <x v="2"/>
    <s v="Ahmedabad"/>
    <x v="0"/>
    <s v="Jeans"/>
    <n v="7"/>
    <n v="100402.4"/>
    <n v="67438.84"/>
    <x v="1"/>
    <n v="32963.56"/>
    <s v="September"/>
    <x v="3"/>
    <n v="0.32831446260248759"/>
    <n v="9.2977729774922438E-4"/>
  </r>
  <r>
    <d v="2023-11-13T00:00:00"/>
    <x v="0"/>
    <s v="Bhubaneswar"/>
    <x v="3"/>
    <s v="Chair"/>
    <n v="6"/>
    <n v="167545.20000000001"/>
    <n v="120168.61"/>
    <x v="4"/>
    <n v="47376.59"/>
    <s v="November"/>
    <x v="0"/>
    <n v="0.28276900800500399"/>
    <n v="1.5515537806551772E-3"/>
  </r>
  <r>
    <d v="2023-06-07T00:00:00"/>
    <x v="2"/>
    <s v="Ahmedabad"/>
    <x v="1"/>
    <s v="Belt"/>
    <n v="1"/>
    <n v="40947"/>
    <n v="32701.81"/>
    <x v="3"/>
    <n v="8245.19"/>
    <s v="June"/>
    <x v="7"/>
    <n v="0.2013624929787286"/>
    <n v="3.7919004935078735E-4"/>
  </r>
  <r>
    <d v="2023-12-15T00:00:00"/>
    <x v="3"/>
    <s v="Chandigarh"/>
    <x v="2"/>
    <s v="Smartphone"/>
    <n v="3"/>
    <n v="99405"/>
    <n v="78357.78"/>
    <x v="3"/>
    <n v="21047.22"/>
    <s v="December"/>
    <x v="4"/>
    <n v="0.21173200543232232"/>
    <n v="9.2054086638129816E-4"/>
  </r>
  <r>
    <d v="2023-09-10T00:00:00"/>
    <x v="3"/>
    <s v="Chandigarh"/>
    <x v="2"/>
    <s v="Tablet"/>
    <n v="3"/>
    <n v="3597"/>
    <n v="2046.11"/>
    <x v="3"/>
    <n v="1550.89"/>
    <s v="September"/>
    <x v="3"/>
    <n v="0.4311620795107034"/>
    <n v="3.3310049759806143E-5"/>
  </r>
  <r>
    <d v="2023-02-23T00:00:00"/>
    <x v="3"/>
    <s v="Jaipur"/>
    <x v="2"/>
    <s v="Headphones"/>
    <n v="3"/>
    <n v="81423"/>
    <n v="52816.89"/>
    <x v="3"/>
    <n v="28606.11"/>
    <s v="February"/>
    <x v="2"/>
    <n v="0.35132714343612986"/>
    <n v="7.5401839910833901E-4"/>
  </r>
  <r>
    <d v="2023-09-30T00:00:00"/>
    <x v="1"/>
    <s v="Hyderabad"/>
    <x v="1"/>
    <s v="Bag"/>
    <n v="2"/>
    <n v="15114.5"/>
    <n v="9273.36"/>
    <x v="0"/>
    <n v="5841.14"/>
    <s v="September"/>
    <x v="3"/>
    <n v="0.38645936021701016"/>
    <n v="1.3996795860288848E-4"/>
  </r>
  <r>
    <d v="2023-01-26T00:00:00"/>
    <x v="2"/>
    <s v="Mumbai"/>
    <x v="2"/>
    <s v="Tablet"/>
    <n v="6"/>
    <n v="194932.8"/>
    <n v="121662.93"/>
    <x v="1"/>
    <n v="73269.87"/>
    <s v="January"/>
    <x v="10"/>
    <n v="0.37587245450739948"/>
    <n v="1.805176888467706E-3"/>
  </r>
  <r>
    <d v="2023-02-05T00:00:00"/>
    <x v="0"/>
    <s v="Patna"/>
    <x v="2"/>
    <s v="Headphones"/>
    <n v="5"/>
    <n v="113311.25"/>
    <n v="62468.06"/>
    <x v="0"/>
    <n v="50843.19"/>
    <s v="February"/>
    <x v="2"/>
    <n v="0.44870381361074035"/>
    <n v="1.0493198153588639E-3"/>
  </r>
  <r>
    <d v="2023-05-23T00:00:00"/>
    <x v="3"/>
    <s v="Delhi"/>
    <x v="1"/>
    <s v="Wallet"/>
    <n v="6"/>
    <n v="25474.5"/>
    <n v="19657.509999999998"/>
    <x v="4"/>
    <n v="5816.99"/>
    <s v="May"/>
    <x v="6"/>
    <n v="0.22834560050246325"/>
    <n v="2.3590682863669211E-4"/>
  </r>
  <r>
    <d v="2023-03-04T00:00:00"/>
    <x v="2"/>
    <s v="Pune"/>
    <x v="3"/>
    <s v="Cupboard"/>
    <n v="7"/>
    <n v="214962.3"/>
    <n v="143250.76999999999"/>
    <x v="2"/>
    <n v="71711.53"/>
    <s v="March"/>
    <x v="9"/>
    <n v="0.33360049645914658"/>
    <n v="1.990660247284508E-3"/>
  </r>
  <r>
    <d v="2023-09-28T00:00:00"/>
    <x v="1"/>
    <s v="Bangalore"/>
    <x v="3"/>
    <s v="Table"/>
    <n v="2"/>
    <n v="53590.8"/>
    <n v="29995.24"/>
    <x v="4"/>
    <n v="23595.56"/>
    <s v="September"/>
    <x v="3"/>
    <n v="0.44029124401949588"/>
    <n v="4.9627806913200422E-4"/>
  </r>
  <r>
    <d v="2023-04-18T00:00:00"/>
    <x v="1"/>
    <s v="Hyderabad"/>
    <x v="1"/>
    <s v="Watch"/>
    <n v="1"/>
    <n v="12079.2"/>
    <n v="7463.57"/>
    <x v="1"/>
    <n v="4615.63"/>
    <s v="April"/>
    <x v="11"/>
    <n v="0.38211388171402078"/>
    <n v="1.1185953657454834E-4"/>
  </r>
  <r>
    <d v="2023-11-04T00:00:00"/>
    <x v="3"/>
    <s v="Jaipur"/>
    <x v="1"/>
    <s v="Bag"/>
    <n v="5"/>
    <n v="146668.5"/>
    <n v="104040.4"/>
    <x v="2"/>
    <n v="42628.1"/>
    <s v="November"/>
    <x v="0"/>
    <n v="0.2906425033323447"/>
    <n v="1.3582249188757651E-3"/>
  </r>
  <r>
    <d v="2023-11-15T00:00:00"/>
    <x v="2"/>
    <s v="Mumbai"/>
    <x v="3"/>
    <s v="Cupboard"/>
    <n v="2"/>
    <n v="33438.6"/>
    <n v="25038.71"/>
    <x v="2"/>
    <n v="8399.89"/>
    <s v="November"/>
    <x v="0"/>
    <n v="0.25120339966386152"/>
    <n v="3.0965844589887504E-4"/>
  </r>
  <r>
    <d v="2023-05-07T00:00:00"/>
    <x v="0"/>
    <s v="Patna"/>
    <x v="0"/>
    <s v="Jeans"/>
    <n v="5"/>
    <n v="130868"/>
    <n v="74623.320000000007"/>
    <x v="1"/>
    <n v="56244.68"/>
    <s v="May"/>
    <x v="6"/>
    <n v="0.42978176483173886"/>
    <n v="1.2119042513111789E-3"/>
  </r>
  <r>
    <d v="2023-04-28T00:00:00"/>
    <x v="3"/>
    <s v="Delhi"/>
    <x v="2"/>
    <s v="Smartphone"/>
    <n v="2"/>
    <n v="33052.400000000001"/>
    <n v="20160.21"/>
    <x v="0"/>
    <n v="12892.19"/>
    <s v="April"/>
    <x v="11"/>
    <n v="0.39005306725078964"/>
    <n v="3.0608203744259563E-4"/>
  </r>
  <r>
    <d v="2023-03-10T00:00:00"/>
    <x v="2"/>
    <s v="Mumbai"/>
    <x v="1"/>
    <s v="Watch"/>
    <n v="5"/>
    <n v="185808"/>
    <n v="136471.19"/>
    <x v="1"/>
    <n v="49336.81"/>
    <s v="March"/>
    <x v="9"/>
    <n v="0.26552575777146298"/>
    <n v="1.7206765987684348E-3"/>
  </r>
  <r>
    <d v="2023-07-04T00:00:00"/>
    <x v="1"/>
    <s v="Bangalore"/>
    <x v="0"/>
    <s v="Jacket"/>
    <n v="4"/>
    <n v="7844.4"/>
    <n v="5800.63"/>
    <x v="2"/>
    <n v="2043.77"/>
    <s v="July"/>
    <x v="5"/>
    <n v="0.26053872826474939"/>
    <n v="7.2643134371927514E-5"/>
  </r>
  <r>
    <d v="2023-08-06T00:00:00"/>
    <x v="3"/>
    <s v="Chandigarh"/>
    <x v="1"/>
    <s v="Watch"/>
    <n v="7"/>
    <n v="82086.2"/>
    <n v="48745.46"/>
    <x v="4"/>
    <n v="33340.74"/>
    <s v="August"/>
    <x v="8"/>
    <n v="0.40616741912769744"/>
    <n v="7.601599684718929E-4"/>
  </r>
  <r>
    <d v="2023-11-21T00:00:00"/>
    <x v="1"/>
    <s v="Bangalore"/>
    <x v="0"/>
    <s v="Shirt"/>
    <n v="1"/>
    <n v="35834"/>
    <n v="25225.79"/>
    <x v="0"/>
    <n v="10608.21"/>
    <s v="November"/>
    <x v="0"/>
    <n v="0.29603756209186805"/>
    <n v="3.3184106841615049E-4"/>
  </r>
  <r>
    <d v="2023-09-14T00:00:00"/>
    <x v="2"/>
    <s v="Pune"/>
    <x v="1"/>
    <s v="Belt"/>
    <n v="2"/>
    <n v="42820.2"/>
    <n v="28937.21"/>
    <x v="2"/>
    <n v="13882.99"/>
    <s v="September"/>
    <x v="3"/>
    <n v="0.3242159074455514"/>
    <n v="3.9653683422987237E-4"/>
  </r>
  <r>
    <d v="2023-06-09T00:00:00"/>
    <x v="2"/>
    <s v="Mumbai"/>
    <x v="2"/>
    <s v="Headphones"/>
    <n v="7"/>
    <n v="220339"/>
    <n v="168955.89"/>
    <x v="3"/>
    <n v="51383.11"/>
    <s v="June"/>
    <x v="7"/>
    <n v="0.23320025052305765"/>
    <n v="2.0404512243608354E-3"/>
  </r>
  <r>
    <d v="2023-04-11T00:00:00"/>
    <x v="0"/>
    <s v="Patna"/>
    <x v="0"/>
    <s v="Shirt"/>
    <n v="1"/>
    <n v="3600"/>
    <n v="2471.06"/>
    <x v="1"/>
    <n v="1128.94"/>
    <s v="April"/>
    <x v="11"/>
    <n v="0.31359444444444445"/>
    <n v="3.3337831285877709E-5"/>
  </r>
  <r>
    <d v="2023-01-12T00:00:00"/>
    <x v="2"/>
    <s v="Ahmedabad"/>
    <x v="2"/>
    <s v="Laptop"/>
    <n v="2"/>
    <n v="30515"/>
    <n v="18873.23"/>
    <x v="4"/>
    <n v="11641.77"/>
    <s v="January"/>
    <x v="10"/>
    <n v="0.38150974930362119"/>
    <n v="2.8258442269126616E-4"/>
  </r>
  <r>
    <d v="2023-04-03T00:00:00"/>
    <x v="0"/>
    <s v="Patna"/>
    <x v="3"/>
    <s v="Chair"/>
    <n v="3"/>
    <n v="106050"/>
    <n v="75712.350000000006"/>
    <x v="3"/>
    <n v="30337.65"/>
    <s v="April"/>
    <x v="11"/>
    <n v="0.2860693069306931"/>
    <n v="9.8207694662981416E-4"/>
  </r>
  <r>
    <d v="2023-04-24T00:00:00"/>
    <x v="1"/>
    <s v="Chennai"/>
    <x v="3"/>
    <s v="Table"/>
    <n v="2"/>
    <n v="71529.2"/>
    <n v="51731.53"/>
    <x v="4"/>
    <n v="19797.669999999998"/>
    <s v="April"/>
    <x v="11"/>
    <n v="0.27677745592009972"/>
    <n v="6.6239677822605651E-4"/>
  </r>
  <r>
    <d v="2023-06-13T00:00:00"/>
    <x v="3"/>
    <s v="Jaipur"/>
    <x v="2"/>
    <s v="Headphones"/>
    <n v="4"/>
    <n v="108787.2"/>
    <n v="86148.05"/>
    <x v="1"/>
    <n v="22639.15"/>
    <s v="June"/>
    <x v="7"/>
    <n v="0.20810490572420287"/>
    <n v="1.0074248110175097E-3"/>
  </r>
  <r>
    <d v="2023-04-06T00:00:00"/>
    <x v="1"/>
    <s v="Bangalore"/>
    <x v="2"/>
    <s v="Headphones"/>
    <n v="3"/>
    <n v="133153.20000000001"/>
    <n v="86969.600000000006"/>
    <x v="2"/>
    <n v="46183.6"/>
    <s v="April"/>
    <x v="11"/>
    <n v="0.34684558838991475"/>
    <n v="1.2330663657707588E-3"/>
  </r>
  <r>
    <d v="2023-10-06T00:00:00"/>
    <x v="2"/>
    <s v="Ahmedabad"/>
    <x v="3"/>
    <s v="Cupboard"/>
    <n v="5"/>
    <n v="226555"/>
    <n v="163110.81"/>
    <x v="3"/>
    <n v="63444.19"/>
    <s v="October"/>
    <x v="1"/>
    <n v="0.28003879852574431"/>
    <n v="2.0980145463811179E-3"/>
  </r>
  <r>
    <d v="2023-12-08T00:00:00"/>
    <x v="3"/>
    <s v="Jaipur"/>
    <x v="2"/>
    <s v="Smartphone"/>
    <n v="1"/>
    <n v="38600.199999999997"/>
    <n v="29205.47"/>
    <x v="4"/>
    <n v="9394.73"/>
    <s v="December"/>
    <x v="4"/>
    <n v="0.2433855264998627"/>
    <n v="3.5745748755587126E-4"/>
  </r>
  <r>
    <d v="2023-03-17T00:00:00"/>
    <x v="3"/>
    <s v="Jaipur"/>
    <x v="0"/>
    <s v="T-Shirt"/>
    <n v="4"/>
    <n v="55292.800000000003"/>
    <n v="42926.32"/>
    <x v="1"/>
    <n v="12366.48"/>
    <s v="March"/>
    <x v="9"/>
    <n v="0.22365443602060303"/>
    <n v="5.1203945492327195E-4"/>
  </r>
  <r>
    <d v="2023-05-24T00:00:00"/>
    <x v="3"/>
    <s v="Jaipur"/>
    <x v="1"/>
    <s v="Bag"/>
    <n v="7"/>
    <n v="206684.1"/>
    <n v="139151.4"/>
    <x v="2"/>
    <n v="67532.7"/>
    <s v="May"/>
    <x v="6"/>
    <n v="0.32674356663139542"/>
    <n v="1.9139999042426324E-3"/>
  </r>
  <r>
    <d v="2023-02-22T00:00:00"/>
    <x v="3"/>
    <s v="Delhi"/>
    <x v="0"/>
    <s v="Shirt"/>
    <n v="1"/>
    <n v="28950.3"/>
    <n v="17462.3"/>
    <x v="2"/>
    <n v="11488"/>
    <s v="February"/>
    <x v="2"/>
    <n v="0.39681799497759956"/>
    <n v="2.6809450474320705E-4"/>
  </r>
  <r>
    <d v="2023-08-11T00:00:00"/>
    <x v="0"/>
    <s v="Kolkata"/>
    <x v="0"/>
    <s v="T-Shirt"/>
    <n v="5"/>
    <n v="104713.75"/>
    <n v="59099.360000000001"/>
    <x v="0"/>
    <n v="45614.39"/>
    <s v="August"/>
    <x v="8"/>
    <n v="0.4356103186066777"/>
    <n v="9.6970259189210458E-4"/>
  </r>
  <r>
    <d v="2023-03-17T00:00:00"/>
    <x v="1"/>
    <s v="Bangalore"/>
    <x v="0"/>
    <s v="Jacket"/>
    <n v="5"/>
    <n v="169191"/>
    <n v="98006.720000000001"/>
    <x v="2"/>
    <n v="71184.28"/>
    <s v="March"/>
    <x v="9"/>
    <n v="0.42073325413290302"/>
    <n v="1.5667947258580376E-3"/>
  </r>
  <r>
    <d v="2023-10-10T00:00:00"/>
    <x v="3"/>
    <s v="Chandigarh"/>
    <x v="3"/>
    <s v="Cupboard"/>
    <n v="1"/>
    <n v="9612.7999999999993"/>
    <n v="5821.94"/>
    <x v="1"/>
    <n v="3790.86"/>
    <s v="October"/>
    <x v="1"/>
    <n v="0.39435544274300938"/>
    <n v="8.9019417940245884E-5"/>
  </r>
  <r>
    <d v="2023-05-25T00:00:00"/>
    <x v="1"/>
    <s v="Chennai"/>
    <x v="2"/>
    <s v="Laptop"/>
    <n v="5"/>
    <n v="109848"/>
    <n v="70594.97"/>
    <x v="1"/>
    <n v="39253.03"/>
    <s v="May"/>
    <x v="6"/>
    <n v="0.35733950549850702"/>
    <n v="1.0172483586364152E-3"/>
  </r>
  <r>
    <d v="2023-12-30T00:00:00"/>
    <x v="0"/>
    <s v="Bhubaneswar"/>
    <x v="2"/>
    <s v="Laptop"/>
    <n v="4"/>
    <n v="123790.6"/>
    <n v="70668.98"/>
    <x v="4"/>
    <n v="53121.62"/>
    <s v="December"/>
    <x v="4"/>
    <n v="0.42912482854110084"/>
    <n v="1.1463639271048814E-3"/>
  </r>
  <r>
    <d v="2023-08-30T00:00:00"/>
    <x v="1"/>
    <s v="Hyderabad"/>
    <x v="0"/>
    <s v="Jeans"/>
    <n v="2"/>
    <n v="51620.4"/>
    <n v="31665.01"/>
    <x v="2"/>
    <n v="19955.39"/>
    <s v="August"/>
    <x v="8"/>
    <n v="0.38657953057318423"/>
    <n v="4.7803116280820042E-4"/>
  </r>
  <r>
    <d v="2023-12-14T00:00:00"/>
    <x v="2"/>
    <s v="Pune"/>
    <x v="3"/>
    <s v="Cupboard"/>
    <n v="4"/>
    <n v="54464"/>
    <n v="40088.39"/>
    <x v="3"/>
    <n v="14375.61"/>
    <s v="December"/>
    <x v="4"/>
    <n v="0.26394701086956524"/>
    <n v="5.0436434532056759E-4"/>
  </r>
  <r>
    <d v="2023-05-14T00:00:00"/>
    <x v="1"/>
    <s v="Bangalore"/>
    <x v="0"/>
    <s v="Shirt"/>
    <n v="1"/>
    <n v="24460"/>
    <n v="14820.29"/>
    <x v="3"/>
    <n v="9639.7099999999991"/>
    <s v="May"/>
    <x v="6"/>
    <n v="0.39410098119378573"/>
    <n v="2.2651204257015796E-4"/>
  </r>
  <r>
    <d v="2023-08-01T00:00:00"/>
    <x v="1"/>
    <s v="Bangalore"/>
    <x v="1"/>
    <s v="Watch"/>
    <n v="5"/>
    <n v="152712"/>
    <n v="85648.56"/>
    <x v="1"/>
    <n v="67063.44"/>
    <s v="August"/>
    <x v="8"/>
    <n v="0.43914977212006917"/>
    <n v="1.4141908031469323E-3"/>
  </r>
  <r>
    <d v="2023-08-21T00:00:00"/>
    <x v="0"/>
    <s v="Kolkata"/>
    <x v="1"/>
    <s v="Belt"/>
    <n v="3"/>
    <n v="43029"/>
    <n v="29293.040000000001"/>
    <x v="3"/>
    <n v="13735.96"/>
    <s v="August"/>
    <x v="8"/>
    <n v="0.31922563852285668"/>
    <n v="3.9847042844445331E-4"/>
  </r>
  <r>
    <d v="2023-01-12T00:00:00"/>
    <x v="3"/>
    <s v="Chandigarh"/>
    <x v="0"/>
    <s v="Jacket"/>
    <n v="1"/>
    <n v="38570.400000000001"/>
    <n v="29903.23"/>
    <x v="2"/>
    <n v="8667.17"/>
    <s v="January"/>
    <x v="10"/>
    <n v="0.22471039968473233"/>
    <n v="3.5718152439689378E-4"/>
  </r>
  <r>
    <d v="2023-03-31T00:00:00"/>
    <x v="1"/>
    <s v="Chennai"/>
    <x v="1"/>
    <s v="Wallet"/>
    <n v="4"/>
    <n v="114771.4"/>
    <n v="68522"/>
    <x v="0"/>
    <n v="46249.4"/>
    <s v="March"/>
    <x v="9"/>
    <n v="0.40296972939251419"/>
    <n v="1.062841547123329E-3"/>
  </r>
  <r>
    <d v="2023-07-11T00:00:00"/>
    <x v="2"/>
    <s v="Pune"/>
    <x v="1"/>
    <s v="Bag"/>
    <n v="4"/>
    <n v="89136"/>
    <n v="70738.210000000006"/>
    <x v="1"/>
    <n v="18397.79"/>
    <s v="July"/>
    <x v="5"/>
    <n v="0.20640134176987973"/>
    <n v="8.2544470263833201E-4"/>
  </r>
  <r>
    <d v="2023-08-08T00:00:00"/>
    <x v="0"/>
    <s v="Patna"/>
    <x v="0"/>
    <s v="T-Shirt"/>
    <n v="1"/>
    <n v="10972.8"/>
    <n v="8267.44"/>
    <x v="1"/>
    <n v="2705.36"/>
    <s v="August"/>
    <x v="8"/>
    <n v="0.24655147273257513"/>
    <n v="1.0161370975935524E-4"/>
  </r>
  <r>
    <d v="2023-07-16T00:00:00"/>
    <x v="2"/>
    <s v="Mumbai"/>
    <x v="2"/>
    <s v="Smartphone"/>
    <n v="3"/>
    <n v="130943.25"/>
    <n v="85657.81"/>
    <x v="0"/>
    <n v="45285.440000000002"/>
    <s v="July"/>
    <x v="5"/>
    <n v="0.34584020176679592"/>
    <n v="1.2126011045901406E-3"/>
  </r>
  <r>
    <d v="2023-04-29T00:00:00"/>
    <x v="0"/>
    <s v="Kolkata"/>
    <x v="3"/>
    <s v="Table"/>
    <n v="6"/>
    <n v="131182.20000000001"/>
    <n v="73633.179999999993"/>
    <x v="2"/>
    <n v="57549.02"/>
    <s v="April"/>
    <x v="11"/>
    <n v="0.43869534128868087"/>
    <n v="1.2148139031417408E-3"/>
  </r>
  <r>
    <d v="2023-10-09T00:00:00"/>
    <x v="2"/>
    <s v="Mumbai"/>
    <x v="3"/>
    <s v="Chair"/>
    <n v="2"/>
    <n v="17830"/>
    <n v="11485.81"/>
    <x v="3"/>
    <n v="6344.19"/>
    <s v="October"/>
    <x v="1"/>
    <n v="0.35581547952888387"/>
    <n v="1.6511486995199987E-4"/>
  </r>
  <r>
    <d v="2023-04-15T00:00:00"/>
    <x v="0"/>
    <s v="Kolkata"/>
    <x v="3"/>
    <s v="Sofa"/>
    <n v="3"/>
    <n v="52003.199999999997"/>
    <n v="29427.46"/>
    <x v="1"/>
    <n v="22575.74"/>
    <s v="April"/>
    <x v="11"/>
    <n v="0.434122130945788"/>
    <n v="4.8157608553493205E-4"/>
  </r>
  <r>
    <d v="2023-12-17T00:00:00"/>
    <x v="0"/>
    <s v="Bhubaneswar"/>
    <x v="2"/>
    <s v="Laptop"/>
    <n v="7"/>
    <n v="176649.55"/>
    <n v="133056.9"/>
    <x v="4"/>
    <n v="43592.65"/>
    <s v="December"/>
    <x v="4"/>
    <n v="0.24677475827139103"/>
    <n v="1.6358646929517271E-3"/>
  </r>
  <r>
    <d v="2023-03-24T00:00:00"/>
    <x v="3"/>
    <s v="Chandigarh"/>
    <x v="0"/>
    <s v="T-Shirt"/>
    <n v="7"/>
    <n v="134534.39999999999"/>
    <n v="105769.79"/>
    <x v="1"/>
    <n v="28764.61"/>
    <s v="March"/>
    <x v="9"/>
    <n v="0.21380858724608726"/>
    <n v="1.245856980374107E-3"/>
  </r>
  <r>
    <d v="2023-09-17T00:00:00"/>
    <x v="3"/>
    <s v="Delhi"/>
    <x v="3"/>
    <s v="Chair"/>
    <n v="6"/>
    <n v="190706.4"/>
    <n v="117986.8"/>
    <x v="2"/>
    <n v="72719.600000000006"/>
    <s v="September"/>
    <x v="3"/>
    <n v="0.38131704022518387"/>
    <n v="1.7660382745380856E-3"/>
  </r>
  <r>
    <d v="2023-04-28T00:00:00"/>
    <x v="1"/>
    <s v="Bangalore"/>
    <x v="2"/>
    <s v="Headphones"/>
    <n v="2"/>
    <n v="69705.3"/>
    <n v="47019.1"/>
    <x v="0"/>
    <n v="22686.2"/>
    <s v="April"/>
    <x v="11"/>
    <n v="0.32545875277776581"/>
    <n v="6.455065364254143E-4"/>
  </r>
  <r>
    <d v="2023-09-08T00:00:00"/>
    <x v="0"/>
    <s v="Bhubaneswar"/>
    <x v="3"/>
    <s v="Cupboard"/>
    <n v="1"/>
    <n v="7141.6"/>
    <n v="4085.72"/>
    <x v="1"/>
    <n v="3055.88"/>
    <s v="September"/>
    <x v="3"/>
    <n v="0.42789851013778424"/>
    <n v="6.613484886422895E-5"/>
  </r>
  <r>
    <d v="2023-03-07T00:00:00"/>
    <x v="3"/>
    <s v="Delhi"/>
    <x v="1"/>
    <s v="Belt"/>
    <n v="7"/>
    <n v="88222.399999999994"/>
    <n v="62203.62"/>
    <x v="1"/>
    <n v="26018.78"/>
    <s v="March"/>
    <x v="9"/>
    <n v="0.29492260468996534"/>
    <n v="8.1698430189867141E-4"/>
  </r>
  <r>
    <d v="2023-10-13T00:00:00"/>
    <x v="0"/>
    <s v="Bhubaneswar"/>
    <x v="0"/>
    <s v="Jeans"/>
    <n v="4"/>
    <n v="152566.20000000001"/>
    <n v="106411.78"/>
    <x v="0"/>
    <n v="46154.42"/>
    <s v="October"/>
    <x v="1"/>
    <n v="0.30252061072504915"/>
    <n v="1.4128406209798544E-3"/>
  </r>
  <r>
    <d v="2023-12-01T00:00:00"/>
    <x v="0"/>
    <s v="Bhubaneswar"/>
    <x v="0"/>
    <s v="Jacket"/>
    <n v="2"/>
    <n v="36430"/>
    <n v="24717.66"/>
    <x v="3"/>
    <n v="11712.34"/>
    <s v="December"/>
    <x v="4"/>
    <n v="0.32150260774087291"/>
    <n v="3.3736033159570135E-4"/>
  </r>
  <r>
    <d v="2023-05-18T00:00:00"/>
    <x v="2"/>
    <s v="Pune"/>
    <x v="0"/>
    <s v="Jeans"/>
    <n v="3"/>
    <n v="104611.2"/>
    <n v="78366.13"/>
    <x v="1"/>
    <n v="26245.07"/>
    <s v="May"/>
    <x v="6"/>
    <n v="0.25088202792817593"/>
    <n v="9.6875292672589158E-4"/>
  </r>
  <r>
    <d v="2023-07-24T00:00:00"/>
    <x v="2"/>
    <s v="Mumbai"/>
    <x v="3"/>
    <s v="Chair"/>
    <n v="4"/>
    <n v="142241.60000000001"/>
    <n v="100308.98"/>
    <x v="0"/>
    <n v="41932.620000000003"/>
    <s v="July"/>
    <x v="5"/>
    <n v="0.29479856807010046"/>
    <n v="1.3172295729536952E-3"/>
  </r>
  <r>
    <d v="2023-12-02T00:00:00"/>
    <x v="1"/>
    <s v="Hyderabad"/>
    <x v="0"/>
    <s v="Shirt"/>
    <n v="3"/>
    <n v="20262"/>
    <n v="13474.83"/>
    <x v="3"/>
    <n v="6787.17"/>
    <s v="December"/>
    <x v="4"/>
    <n v="0.33497038791827066"/>
    <n v="1.8763642708734835E-4"/>
  </r>
  <r>
    <d v="2023-07-14T00:00:00"/>
    <x v="0"/>
    <s v="Bhubaneswar"/>
    <x v="3"/>
    <s v="Cupboard"/>
    <n v="4"/>
    <n v="156111"/>
    <n v="99351.67"/>
    <x v="4"/>
    <n v="56759.33"/>
    <s v="July"/>
    <x v="5"/>
    <n v="0.36358315557519971"/>
    <n v="1.4456672721860151E-3"/>
  </r>
  <r>
    <d v="2023-10-04T00:00:00"/>
    <x v="2"/>
    <s v="Ahmedabad"/>
    <x v="0"/>
    <s v="T-Shirt"/>
    <n v="2"/>
    <n v="55540.800000000003"/>
    <n v="33655.629999999997"/>
    <x v="0"/>
    <n v="21885.17"/>
    <s v="October"/>
    <x v="1"/>
    <n v="0.39403771641748042"/>
    <n v="5.1433606107852126E-4"/>
  </r>
  <r>
    <d v="2023-05-13T00:00:00"/>
    <x v="3"/>
    <s v="Chandigarh"/>
    <x v="1"/>
    <s v="Bag"/>
    <n v="5"/>
    <n v="94244"/>
    <n v="64762.48"/>
    <x v="1"/>
    <n v="29481.52"/>
    <s v="May"/>
    <x v="6"/>
    <n v="0.31282118755570648"/>
    <n v="8.7274738102951631E-4"/>
  </r>
  <r>
    <d v="2023-10-09T00:00:00"/>
    <x v="3"/>
    <s v="Chandigarh"/>
    <x v="3"/>
    <s v="Table"/>
    <n v="1"/>
    <n v="21463.200000000001"/>
    <n v="13530.31"/>
    <x v="1"/>
    <n v="7932.89"/>
    <s v="October"/>
    <x v="1"/>
    <n v="0.36960425286071041"/>
    <n v="1.987601501264029E-4"/>
  </r>
  <r>
    <d v="2023-10-19T00:00:00"/>
    <x v="3"/>
    <s v="Jaipur"/>
    <x v="2"/>
    <s v="Smartphone"/>
    <n v="7"/>
    <n v="255707.2"/>
    <n v="140804.85"/>
    <x v="1"/>
    <n v="114902.35"/>
    <s v="October"/>
    <x v="1"/>
    <n v="0.44935125017989325"/>
    <n v="2.3679787478289413E-3"/>
  </r>
  <r>
    <d v="2023-03-19T00:00:00"/>
    <x v="3"/>
    <s v="Delhi"/>
    <x v="0"/>
    <s v="T-Shirt"/>
    <n v="4"/>
    <n v="3047.6"/>
    <n v="2255.19"/>
    <x v="0"/>
    <n v="792.41"/>
    <s v="March"/>
    <x v="9"/>
    <n v="0.26001115631972699"/>
    <n v="2.8222326285233582E-5"/>
  </r>
  <r>
    <d v="2023-04-21T00:00:00"/>
    <x v="2"/>
    <s v="Pune"/>
    <x v="2"/>
    <s v="Smartphone"/>
    <n v="6"/>
    <n v="83883.600000000006"/>
    <n v="61095.56"/>
    <x v="2"/>
    <n v="22788.04"/>
    <s v="April"/>
    <x v="11"/>
    <n v="0.27166263727355527"/>
    <n v="7.7680480679223651E-4"/>
  </r>
  <r>
    <d v="2023-08-15T00:00:00"/>
    <x v="0"/>
    <s v="Patna"/>
    <x v="0"/>
    <s v="Jacket"/>
    <n v="4"/>
    <n v="157472"/>
    <n v="104223.33"/>
    <x v="0"/>
    <n v="53248.67"/>
    <s v="August"/>
    <x v="8"/>
    <n v="0.33814690865677705"/>
    <n v="1.4582708245138151E-3"/>
  </r>
  <r>
    <d v="2023-09-30T00:00:00"/>
    <x v="0"/>
    <s v="Bhubaneswar"/>
    <x v="1"/>
    <s v="Watch"/>
    <n v="7"/>
    <n v="273938"/>
    <n v="152040.47"/>
    <x v="4"/>
    <n v="121897.53"/>
    <s v="September"/>
    <x v="3"/>
    <n v="0.44498218575006021"/>
    <n v="2.536805229664102E-3"/>
  </r>
  <r>
    <d v="2023-01-25T00:00:00"/>
    <x v="0"/>
    <s v="Patna"/>
    <x v="3"/>
    <s v="Table"/>
    <n v="4"/>
    <n v="20528"/>
    <n v="13050.3"/>
    <x v="3"/>
    <n v="7477.7"/>
    <s v="January"/>
    <x v="10"/>
    <n v="0.36426831644583008"/>
    <n v="1.900997223990271E-4"/>
  </r>
  <r>
    <d v="2023-02-03T00:00:00"/>
    <x v="2"/>
    <s v="Pune"/>
    <x v="0"/>
    <s v="T-Shirt"/>
    <n v="5"/>
    <n v="115744.5"/>
    <n v="79201.259999999995"/>
    <x v="4"/>
    <n v="36543.24"/>
    <s v="February"/>
    <x v="2"/>
    <n v="0.31572333890595233"/>
    <n v="1.0718529481300756E-3"/>
  </r>
  <r>
    <d v="2023-10-09T00:00:00"/>
    <x v="0"/>
    <s v="Kolkata"/>
    <x v="1"/>
    <s v="Belt"/>
    <n v="2"/>
    <n v="57184"/>
    <n v="36641.82"/>
    <x v="1"/>
    <n v="20542.18"/>
    <s v="October"/>
    <x v="1"/>
    <n v="0.35922950475657528"/>
    <n v="5.2955292895878628E-4"/>
  </r>
  <r>
    <d v="2023-05-30T00:00:00"/>
    <x v="2"/>
    <s v="Pune"/>
    <x v="0"/>
    <s v="Shirt"/>
    <n v="3"/>
    <n v="42624"/>
    <n v="33392.620000000003"/>
    <x v="1"/>
    <n v="9231.3799999999992"/>
    <s v="May"/>
    <x v="6"/>
    <n v="0.21657704579579579"/>
    <n v="3.9471992242479207E-4"/>
  </r>
  <r>
    <d v="2023-12-16T00:00:00"/>
    <x v="3"/>
    <s v="Chandigarh"/>
    <x v="3"/>
    <s v="Sofa"/>
    <n v="4"/>
    <n v="43606.8"/>
    <n v="24941.86"/>
    <x v="2"/>
    <n v="18664.939999999999"/>
    <s v="December"/>
    <x v="4"/>
    <n v="0.42802819743709691"/>
    <n v="4.0382115036583671E-4"/>
  </r>
  <r>
    <d v="2023-08-11T00:00:00"/>
    <x v="0"/>
    <s v="Bhubaneswar"/>
    <x v="2"/>
    <s v="Tablet"/>
    <n v="3"/>
    <n v="60763.199999999997"/>
    <n v="48342.879999999997"/>
    <x v="1"/>
    <n v="12420.32"/>
    <s v="August"/>
    <x v="8"/>
    <n v="0.20440529794349213"/>
    <n v="5.6269814166390114E-4"/>
  </r>
  <r>
    <d v="2023-03-03T00:00:00"/>
    <x v="1"/>
    <s v="Chennai"/>
    <x v="1"/>
    <s v="Wallet"/>
    <n v="3"/>
    <n v="68550"/>
    <n v="46112.71"/>
    <x v="3"/>
    <n v="22437.29"/>
    <s v="March"/>
    <x v="9"/>
    <n v="0.32731276440554341"/>
    <n v="6.3480787073525466E-4"/>
  </r>
  <r>
    <d v="2023-11-22T00:00:00"/>
    <x v="3"/>
    <s v="Chandigarh"/>
    <x v="0"/>
    <s v="Jacket"/>
    <n v="2"/>
    <n v="75222.399999999994"/>
    <n v="55843.1"/>
    <x v="1"/>
    <n v="19379.3"/>
    <s v="November"/>
    <x v="0"/>
    <n v="0.25762671757348876"/>
    <n v="6.9659768892189086E-4"/>
  </r>
  <r>
    <d v="2023-02-16T00:00:00"/>
    <x v="1"/>
    <s v="Chennai"/>
    <x v="1"/>
    <s v="Belt"/>
    <n v="4"/>
    <n v="169578.4"/>
    <n v="103544.98"/>
    <x v="4"/>
    <n v="66033.42"/>
    <s v="February"/>
    <x v="2"/>
    <n v="0.38939758837210398"/>
    <n v="1.5703822469247456E-3"/>
  </r>
  <r>
    <d v="2023-11-29T00:00:00"/>
    <x v="3"/>
    <s v="Chandigarh"/>
    <x v="3"/>
    <s v="Cupboard"/>
    <n v="6"/>
    <n v="12571.2"/>
    <n v="9843.2900000000009"/>
    <x v="2"/>
    <n v="2727.91"/>
    <s v="November"/>
    <x v="0"/>
    <n v="0.21699678630520552"/>
    <n v="1.1641570685028496E-4"/>
  </r>
  <r>
    <d v="2023-06-21T00:00:00"/>
    <x v="0"/>
    <s v="Bhubaneswar"/>
    <x v="2"/>
    <s v="Smartphone"/>
    <n v="2"/>
    <n v="814.4"/>
    <n v="460.82"/>
    <x v="1"/>
    <n v="353.58"/>
    <s v="June"/>
    <x v="7"/>
    <n v="0.43416011787819253"/>
    <n v="7.5417582775607787E-6"/>
  </r>
  <r>
    <d v="2023-09-22T00:00:00"/>
    <x v="1"/>
    <s v="Bangalore"/>
    <x v="1"/>
    <s v="Bag"/>
    <n v="4"/>
    <n v="28838.400000000001"/>
    <n v="15880.66"/>
    <x v="1"/>
    <n v="12957.74"/>
    <s v="September"/>
    <x v="3"/>
    <n v="0.4493224312028406"/>
    <n v="2.6705825382073768E-4"/>
  </r>
  <r>
    <d v="2023-08-24T00:00:00"/>
    <x v="0"/>
    <s v="Bhubaneswar"/>
    <x v="1"/>
    <s v="Bag"/>
    <n v="7"/>
    <n v="257306"/>
    <n v="196242.62"/>
    <x v="3"/>
    <n v="61063.38"/>
    <s v="August"/>
    <x v="8"/>
    <n v="0.23731813482779257"/>
    <n v="2.3827844491233468E-3"/>
  </r>
  <r>
    <d v="2023-02-04T00:00:00"/>
    <x v="1"/>
    <s v="Chennai"/>
    <x v="2"/>
    <s v="Headphones"/>
    <n v="3"/>
    <n v="16404.599999999999"/>
    <n v="9765.7900000000009"/>
    <x v="0"/>
    <n v="6638.81"/>
    <s v="February"/>
    <x v="2"/>
    <n v="0.40469197664069839"/>
    <n v="1.5191494086453039E-4"/>
  </r>
  <r>
    <d v="2023-09-27T00:00:00"/>
    <x v="3"/>
    <s v="Chandigarh"/>
    <x v="1"/>
    <s v="Wallet"/>
    <n v="5"/>
    <n v="38281.5"/>
    <n v="28665.83"/>
    <x v="2"/>
    <n v="9615.67"/>
    <s v="September"/>
    <x v="3"/>
    <n v="0.25118320859945403"/>
    <n v="3.5450616343620206E-4"/>
  </r>
  <r>
    <d v="2023-03-03T00:00:00"/>
    <x v="2"/>
    <s v="Pune"/>
    <x v="0"/>
    <s v="T-Shirt"/>
    <n v="5"/>
    <n v="89019"/>
    <n v="63064.59"/>
    <x v="2"/>
    <n v="25954.41"/>
    <s v="March"/>
    <x v="9"/>
    <n v="0.29156034105078693"/>
    <n v="8.2436122312154101E-4"/>
  </r>
  <r>
    <d v="2023-12-19T00:00:00"/>
    <x v="2"/>
    <s v="Mumbai"/>
    <x v="2"/>
    <s v="Smartphone"/>
    <n v="1"/>
    <n v="39422.699999999997"/>
    <n v="27833.43"/>
    <x v="2"/>
    <n v="11589.27"/>
    <s v="December"/>
    <x v="4"/>
    <n v="0.29397453751265135"/>
    <n v="3.6507425595382525E-4"/>
  </r>
  <r>
    <d v="2023-11-05T00:00:00"/>
    <x v="0"/>
    <s v="Bhubaneswar"/>
    <x v="0"/>
    <s v="T-Shirt"/>
    <n v="1"/>
    <n v="2692"/>
    <n v="1744.07"/>
    <x v="3"/>
    <n v="947.93"/>
    <s v="November"/>
    <x v="0"/>
    <n v="0.35212852897473995"/>
    <n v="2.4929289394884106E-5"/>
  </r>
  <r>
    <d v="2023-01-15T00:00:00"/>
    <x v="2"/>
    <s v="Ahmedabad"/>
    <x v="0"/>
    <s v="Jacket"/>
    <n v="6"/>
    <n v="149590.79999999999"/>
    <n v="94799.64"/>
    <x v="2"/>
    <n v="54791.16"/>
    <s v="January"/>
    <x v="10"/>
    <n v="0.36627359436542894"/>
    <n v="1.3852869034220762E-3"/>
  </r>
  <r>
    <d v="2023-02-07T00:00:00"/>
    <x v="0"/>
    <s v="Kolkata"/>
    <x v="2"/>
    <s v="Headphones"/>
    <n v="6"/>
    <n v="53708.4"/>
    <n v="40128.19"/>
    <x v="2"/>
    <n v="13580.21"/>
    <s v="February"/>
    <x v="2"/>
    <n v="0.25285076449866312"/>
    <n v="4.9736710495400954E-4"/>
  </r>
  <r>
    <d v="2023-03-27T00:00:00"/>
    <x v="3"/>
    <s v="Delhi"/>
    <x v="2"/>
    <s v="Laptop"/>
    <n v="3"/>
    <n v="53502"/>
    <n v="29874.61"/>
    <x v="3"/>
    <n v="23627.39"/>
    <s v="March"/>
    <x v="9"/>
    <n v="0.44161694889910658"/>
    <n v="4.9545573596028588E-4"/>
  </r>
  <r>
    <d v="2023-08-16T00:00:00"/>
    <x v="1"/>
    <s v="Chennai"/>
    <x v="2"/>
    <s v="Tablet"/>
    <n v="2"/>
    <n v="70995.199999999997"/>
    <n v="41010.94"/>
    <x v="1"/>
    <n v="29984.26"/>
    <s v="August"/>
    <x v="8"/>
    <n v="0.42234207383034345"/>
    <n v="6.5745166658531806E-4"/>
  </r>
  <r>
    <d v="2023-05-10T00:00:00"/>
    <x v="3"/>
    <s v="Jaipur"/>
    <x v="2"/>
    <s v="Headphones"/>
    <n v="5"/>
    <n v="63248.5"/>
    <n v="46207.02"/>
    <x v="4"/>
    <n v="17041.48"/>
    <s v="May"/>
    <x v="6"/>
    <n v="0.26943690364198358"/>
    <n v="5.8571328391245449E-4"/>
  </r>
  <r>
    <d v="2023-05-28T00:00:00"/>
    <x v="0"/>
    <s v="Bhubaneswar"/>
    <x v="0"/>
    <s v="Jacket"/>
    <n v="4"/>
    <n v="122619.6"/>
    <n v="85803.97"/>
    <x v="2"/>
    <n v="36815.629999999997"/>
    <s v="May"/>
    <x v="6"/>
    <n v="0.30024262026625431"/>
    <n v="1.1355198714282806E-3"/>
  </r>
  <r>
    <d v="2023-08-06T00:00:00"/>
    <x v="0"/>
    <s v="Patna"/>
    <x v="3"/>
    <s v="Cupboard"/>
    <n v="6"/>
    <n v="254590.5"/>
    <n v="200317.11"/>
    <x v="0"/>
    <n v="54273.39"/>
    <s v="August"/>
    <x v="8"/>
    <n v="0.21317916418719474"/>
    <n v="2.3576375377742354E-3"/>
  </r>
  <r>
    <d v="2023-12-22T00:00:00"/>
    <x v="3"/>
    <s v="Chandigarh"/>
    <x v="3"/>
    <s v="Chair"/>
    <n v="1"/>
    <n v="22707.75"/>
    <n v="15855.48"/>
    <x v="4"/>
    <n v="6852.27"/>
    <s v="December"/>
    <x v="4"/>
    <n v="0.30175909105921989"/>
    <n v="2.1028531621719153E-4"/>
  </r>
  <r>
    <d v="2023-02-20T00:00:00"/>
    <x v="2"/>
    <s v="Mumbai"/>
    <x v="1"/>
    <s v="Watch"/>
    <n v="7"/>
    <n v="167385.4"/>
    <n v="107730.72"/>
    <x v="4"/>
    <n v="59654.68"/>
    <s v="February"/>
    <x v="2"/>
    <n v="0.35639117868105585"/>
    <n v="1.5500739513664317E-3"/>
  </r>
  <r>
    <d v="2023-12-12T00:00:00"/>
    <x v="3"/>
    <s v="Chandigarh"/>
    <x v="1"/>
    <s v="Watch"/>
    <n v="6"/>
    <n v="290292"/>
    <n v="167878.62"/>
    <x v="3"/>
    <n v="122413.38"/>
    <s v="December"/>
    <x v="4"/>
    <n v="0.42169050473316522"/>
    <n v="2.6882515887888918E-3"/>
  </r>
  <r>
    <d v="2023-05-29T00:00:00"/>
    <x v="1"/>
    <s v="Chennai"/>
    <x v="0"/>
    <s v="T-Shirt"/>
    <n v="1"/>
    <n v="31609.8"/>
    <n v="22057.91"/>
    <x v="2"/>
    <n v="9551.89"/>
    <s v="May"/>
    <x v="6"/>
    <n v="0.30218128555068363"/>
    <n v="2.9272282760564919E-4"/>
  </r>
  <r>
    <d v="2023-10-18T00:00:00"/>
    <x v="0"/>
    <s v="Kolkata"/>
    <x v="2"/>
    <s v="Laptop"/>
    <n v="2"/>
    <n v="63558.400000000001"/>
    <n v="44550.01"/>
    <x v="1"/>
    <n v="19008.39"/>
    <s v="October"/>
    <x v="1"/>
    <n v="0.29906967450407812"/>
    <n v="5.8858311555564714E-4"/>
  </r>
  <r>
    <d v="2023-12-13T00:00:00"/>
    <x v="0"/>
    <s v="Kolkata"/>
    <x v="3"/>
    <s v="Sofa"/>
    <n v="6"/>
    <n v="51738.9"/>
    <n v="34675.89"/>
    <x v="0"/>
    <n v="17063.009999999998"/>
    <s v="December"/>
    <x v="4"/>
    <n v="0.32979073772345369"/>
    <n v="4.7912853308802728E-4"/>
  </r>
  <r>
    <d v="2023-07-17T00:00:00"/>
    <x v="3"/>
    <s v="Jaipur"/>
    <x v="0"/>
    <s v="Shirt"/>
    <n v="3"/>
    <n v="41970"/>
    <n v="28312.62"/>
    <x v="3"/>
    <n v="13657.38"/>
    <s v="July"/>
    <x v="5"/>
    <n v="0.32540814867762685"/>
    <n v="3.8866354974119091E-4"/>
  </r>
  <r>
    <d v="2023-02-18T00:00:00"/>
    <x v="3"/>
    <s v="Delhi"/>
    <x v="2"/>
    <s v="Laptop"/>
    <n v="7"/>
    <n v="34959.050000000003"/>
    <n v="19341.919999999998"/>
    <x v="0"/>
    <n v="15617.13"/>
    <s v="February"/>
    <x v="2"/>
    <n v="0.44672638415517579"/>
    <n v="3.2373858633737867E-4"/>
  </r>
  <r>
    <d v="2023-12-26T00:00:00"/>
    <x v="0"/>
    <s v="Kolkata"/>
    <x v="1"/>
    <s v="Watch"/>
    <n v="1"/>
    <n v="31884.35"/>
    <n v="21801.48"/>
    <x v="4"/>
    <n v="10082.870000000001"/>
    <s v="December"/>
    <x v="4"/>
    <n v="0.31623257177894487"/>
    <n v="2.9526530026663188E-4"/>
  </r>
  <r>
    <d v="2023-07-30T00:00:00"/>
    <x v="3"/>
    <s v="Jaipur"/>
    <x v="2"/>
    <s v="Headphones"/>
    <n v="5"/>
    <n v="191020.5"/>
    <n v="115085.34"/>
    <x v="2"/>
    <n v="75935.16"/>
    <s v="July"/>
    <x v="5"/>
    <n v="0.39752361657518437"/>
    <n v="1.7689470003177785E-3"/>
  </r>
  <r>
    <d v="2023-03-19T00:00:00"/>
    <x v="1"/>
    <s v="Chennai"/>
    <x v="2"/>
    <s v="Laptop"/>
    <n v="5"/>
    <n v="193320"/>
    <n v="109501.7"/>
    <x v="2"/>
    <n v="83818.3"/>
    <s v="March"/>
    <x v="9"/>
    <n v="0.43357283260914548"/>
    <n v="1.7902415400516329E-3"/>
  </r>
  <r>
    <d v="2023-11-15T00:00:00"/>
    <x v="0"/>
    <s v="Bhubaneswar"/>
    <x v="3"/>
    <s v="Table"/>
    <n v="6"/>
    <n v="219450"/>
    <n v="147964.82"/>
    <x v="0"/>
    <n v="71485.179999999993"/>
    <s v="November"/>
    <x v="0"/>
    <n v="0.32574700387331962"/>
    <n v="2.0322186321349617E-3"/>
  </r>
  <r>
    <d v="2023-06-11T00:00:00"/>
    <x v="2"/>
    <s v="Mumbai"/>
    <x v="1"/>
    <s v="Watch"/>
    <n v="7"/>
    <n v="260227.8"/>
    <n v="167411.66"/>
    <x v="2"/>
    <n v="92816.14"/>
    <s v="June"/>
    <x v="7"/>
    <n v="0.35667265372877149"/>
    <n v="2.4098418034153128E-3"/>
  </r>
  <r>
    <d v="2023-01-08T00:00:00"/>
    <x v="2"/>
    <s v="Mumbai"/>
    <x v="0"/>
    <s v="Jacket"/>
    <n v="4"/>
    <n v="102216.2"/>
    <n v="78374.11"/>
    <x v="0"/>
    <n v="23842.09"/>
    <s v="January"/>
    <x v="10"/>
    <n v="0.23325157851690828"/>
    <n v="9.4657400841209247E-4"/>
  </r>
  <r>
    <d v="2023-09-06T00:00:00"/>
    <x v="3"/>
    <s v="Delhi"/>
    <x v="0"/>
    <s v="Jacket"/>
    <n v="7"/>
    <n v="62619.199999999997"/>
    <n v="43755.93"/>
    <x v="1"/>
    <n v="18863.27"/>
    <s v="September"/>
    <x v="3"/>
    <n v="0.30123779926923372"/>
    <n v="5.798856457935092E-4"/>
  </r>
  <r>
    <d v="2023-03-29T00:00:00"/>
    <x v="0"/>
    <s v="Kolkata"/>
    <x v="0"/>
    <s v="Jacket"/>
    <n v="1"/>
    <n v="19531.05"/>
    <n v="14674.24"/>
    <x v="0"/>
    <n v="4856.8100000000004"/>
    <s v="March"/>
    <x v="9"/>
    <n v="0.24867121839327638"/>
    <n v="1.8086745826001159E-4"/>
  </r>
  <r>
    <d v="2023-11-07T00:00:00"/>
    <x v="1"/>
    <s v="Chennai"/>
    <x v="0"/>
    <s v="Shirt"/>
    <n v="4"/>
    <n v="133196.79999999999"/>
    <n v="86790.78"/>
    <x v="1"/>
    <n v="46406.02"/>
    <s v="November"/>
    <x v="0"/>
    <n v="0.34840191355948491"/>
    <n v="1.2334701239496654E-3"/>
  </r>
  <r>
    <d v="2023-02-05T00:00:00"/>
    <x v="2"/>
    <s v="Pune"/>
    <x v="0"/>
    <s v="Jeans"/>
    <n v="7"/>
    <n v="92579.199999999997"/>
    <n v="51532.639999999999"/>
    <x v="1"/>
    <n v="41046.559999999998"/>
    <s v="February"/>
    <x v="2"/>
    <n v="0.44336697659949537"/>
    <n v="8.5733048616153595E-4"/>
  </r>
  <r>
    <d v="2023-07-14T00:00:00"/>
    <x v="3"/>
    <s v="Chandigarh"/>
    <x v="3"/>
    <s v="Chair"/>
    <n v="7"/>
    <n v="141229.20000000001"/>
    <n v="89534.58"/>
    <x v="4"/>
    <n v="51694.62"/>
    <s v="July"/>
    <x v="5"/>
    <n v="0.36603351148346092"/>
    <n v="1.3078542339554113E-3"/>
  </r>
  <r>
    <d v="2023-12-21T00:00:00"/>
    <x v="0"/>
    <s v="Bhubaneswar"/>
    <x v="1"/>
    <s v="Wallet"/>
    <n v="5"/>
    <n v="170360"/>
    <n v="112272.63"/>
    <x v="3"/>
    <n v="58087.37"/>
    <s v="December"/>
    <x v="4"/>
    <n v="0.34096836111763329"/>
    <n v="1.5776202605172571E-3"/>
  </r>
  <r>
    <d v="2023-05-08T00:00:00"/>
    <x v="2"/>
    <s v="Pune"/>
    <x v="3"/>
    <s v="Cupboard"/>
    <n v="1"/>
    <n v="43906.5"/>
    <n v="33967.74"/>
    <x v="2"/>
    <n v="9938.76"/>
    <s v="May"/>
    <x v="6"/>
    <n v="0.22636192818830925"/>
    <n v="4.06596524820386E-4"/>
  </r>
  <r>
    <d v="2023-08-25T00:00:00"/>
    <x v="2"/>
    <s v="Mumbai"/>
    <x v="3"/>
    <s v="Sofa"/>
    <n v="1"/>
    <n v="3073"/>
    <n v="2106.2600000000002"/>
    <x v="3"/>
    <n v="966.74"/>
    <s v="August"/>
    <x v="8"/>
    <n v="0.31459160429547672"/>
    <n v="2.845754320597283E-5"/>
  </r>
  <r>
    <d v="2023-08-03T00:00:00"/>
    <x v="3"/>
    <s v="Jaipur"/>
    <x v="2"/>
    <s v="Smartphone"/>
    <n v="6"/>
    <n v="201124.8"/>
    <n v="119250.88"/>
    <x v="1"/>
    <n v="81873.919999999998"/>
    <s v="August"/>
    <x v="8"/>
    <n v="0.40708018106170896"/>
    <n v="1.8625179582794156E-3"/>
  </r>
  <r>
    <d v="2023-02-03T00:00:00"/>
    <x v="3"/>
    <s v="Jaipur"/>
    <x v="3"/>
    <s v="Table"/>
    <n v="5"/>
    <n v="115451.25"/>
    <n v="77874.490000000005"/>
    <x v="4"/>
    <n v="37576.76"/>
    <s v="February"/>
    <x v="2"/>
    <n v="0.32547729019824384"/>
    <n v="1.0691373039565801E-3"/>
  </r>
  <r>
    <d v="2023-01-27T00:00:00"/>
    <x v="3"/>
    <s v="Delhi"/>
    <x v="2"/>
    <s v="Smartphone"/>
    <n v="2"/>
    <n v="21400"/>
    <n v="11828.83"/>
    <x v="1"/>
    <n v="9571.17"/>
    <s v="January"/>
    <x v="10"/>
    <n v="0.44725093457943926"/>
    <n v="1.9817488597716193E-4"/>
  </r>
  <r>
    <d v="2023-06-22T00:00:00"/>
    <x v="3"/>
    <s v="Jaipur"/>
    <x v="3"/>
    <s v="Sofa"/>
    <n v="2"/>
    <n v="50379.199999999997"/>
    <n v="36084.559999999998"/>
    <x v="1"/>
    <n v="14294.64"/>
    <s v="June"/>
    <x v="7"/>
    <n v="0.28374090894654935"/>
    <n v="4.6653701942152504E-4"/>
  </r>
  <r>
    <d v="2023-12-29T00:00:00"/>
    <x v="3"/>
    <s v="Chandigarh"/>
    <x v="2"/>
    <s v="Headphones"/>
    <n v="6"/>
    <n v="210312.9"/>
    <n v="124414.98"/>
    <x v="0"/>
    <n v="85897.919999999998"/>
    <s v="December"/>
    <x v="4"/>
    <n v="0.40842915484499526"/>
    <n v="1.947604438178797E-3"/>
  </r>
  <r>
    <d v="2023-10-23T00:00:00"/>
    <x v="3"/>
    <s v="Jaipur"/>
    <x v="2"/>
    <s v="Headphones"/>
    <n v="3"/>
    <n v="32594.400000000001"/>
    <n v="21099.13"/>
    <x v="1"/>
    <n v="11495.27"/>
    <s v="October"/>
    <x v="1"/>
    <n v="0.35267622659107084"/>
    <n v="3.0184072446233674E-4"/>
  </r>
  <r>
    <d v="2023-09-07T00:00:00"/>
    <x v="0"/>
    <s v="Kolkata"/>
    <x v="0"/>
    <s v="Jacket"/>
    <n v="3"/>
    <n v="70245.600000000006"/>
    <n v="47130.49"/>
    <x v="1"/>
    <n v="23115.11"/>
    <s v="September"/>
    <x v="3"/>
    <n v="0.3290613219902741"/>
    <n v="6.5050998927090311E-4"/>
  </r>
  <r>
    <d v="2023-12-31T00:00:00"/>
    <x v="2"/>
    <s v="Ahmedabad"/>
    <x v="1"/>
    <s v="Belt"/>
    <n v="3"/>
    <n v="87714.9"/>
    <n v="66803.839999999997"/>
    <x v="2"/>
    <n v="20911.060000000001"/>
    <s v="December"/>
    <x v="4"/>
    <n v="0.23839803727758913"/>
    <n v="8.1228459373823168E-4"/>
  </r>
  <r>
    <d v="2023-01-17T00:00:00"/>
    <x v="0"/>
    <s v="Patna"/>
    <x v="2"/>
    <s v="Smartphone"/>
    <n v="2"/>
    <n v="4048"/>
    <n v="2302.44"/>
    <x v="3"/>
    <n v="1745.56"/>
    <s v="January"/>
    <x v="10"/>
    <n v="0.43121541501976285"/>
    <n v="3.7486539179231373E-5"/>
  </r>
  <r>
    <d v="2023-08-17T00:00:00"/>
    <x v="3"/>
    <s v="Delhi"/>
    <x v="2"/>
    <s v="Tablet"/>
    <n v="2"/>
    <n v="82044"/>
    <n v="61924.81"/>
    <x v="2"/>
    <n v="20119.189999999999"/>
    <s v="August"/>
    <x v="8"/>
    <n v="0.24522439178977132"/>
    <n v="7.5976917500515293E-4"/>
  </r>
  <r>
    <d v="2023-11-01T00:00:00"/>
    <x v="2"/>
    <s v="Ahmedabad"/>
    <x v="3"/>
    <s v="Table"/>
    <n v="2"/>
    <n v="42391.8"/>
    <n v="26649.57"/>
    <x v="2"/>
    <n v="15742.23"/>
    <s v="November"/>
    <x v="0"/>
    <n v="0.3713508272826348"/>
    <n v="3.9256963230685298E-4"/>
  </r>
  <r>
    <d v="2023-05-29T00:00:00"/>
    <x v="3"/>
    <s v="Delhi"/>
    <x v="3"/>
    <s v="Chair"/>
    <n v="7"/>
    <n v="132243.29999999999"/>
    <n v="96941.77"/>
    <x v="2"/>
    <n v="35301.53"/>
    <s v="May"/>
    <x v="6"/>
    <n v="0.2669438073611291"/>
    <n v="1.2246402289132531E-3"/>
  </r>
  <r>
    <d v="2023-09-25T00:00:00"/>
    <x v="3"/>
    <s v="Jaipur"/>
    <x v="2"/>
    <s v="Smartphone"/>
    <n v="6"/>
    <n v="34914"/>
    <n v="27087.71"/>
    <x v="3"/>
    <n v="7826.29"/>
    <s v="September"/>
    <x v="3"/>
    <n v="0.22415907658818812"/>
    <n v="3.2332140042087062E-4"/>
  </r>
  <r>
    <d v="2023-10-09T00:00:00"/>
    <x v="0"/>
    <s v="Bhubaneswar"/>
    <x v="3"/>
    <s v="Chair"/>
    <n v="5"/>
    <n v="223805.75"/>
    <n v="156007.37"/>
    <x v="0"/>
    <n v="67798.38"/>
    <s v="October"/>
    <x v="1"/>
    <n v="0.30293403989843876"/>
    <n v="2.0725550928637013E-3"/>
  </r>
  <r>
    <d v="2023-06-25T00:00:00"/>
    <x v="3"/>
    <s v="Chandigarh"/>
    <x v="3"/>
    <s v="Sofa"/>
    <n v="6"/>
    <n v="180950.39999999999"/>
    <n v="132592.48000000001"/>
    <x v="1"/>
    <n v="48357.919999999998"/>
    <s v="June"/>
    <x v="7"/>
    <n v="0.26724406246131538"/>
    <n v="1.6756927517533569E-3"/>
  </r>
  <r>
    <d v="2023-04-13T00:00:00"/>
    <x v="2"/>
    <s v="Pune"/>
    <x v="0"/>
    <s v="Jacket"/>
    <n v="5"/>
    <n v="30757.25"/>
    <n v="23410.49"/>
    <x v="4"/>
    <n v="7346.76"/>
    <s v="April"/>
    <x v="11"/>
    <n v="0.23886270716660302"/>
    <n v="2.8482778092154502E-4"/>
  </r>
  <r>
    <d v="2023-05-11T00:00:00"/>
    <x v="3"/>
    <s v="Chandigarh"/>
    <x v="0"/>
    <s v="Shirt"/>
    <n v="3"/>
    <n v="91634.25"/>
    <n v="61419.27"/>
    <x v="4"/>
    <n v="30214.98"/>
    <s v="May"/>
    <x v="6"/>
    <n v="0.32973456977058252"/>
    <n v="8.4857976847442756E-4"/>
  </r>
  <r>
    <d v="2023-01-04T00:00:00"/>
    <x v="3"/>
    <s v="Jaipur"/>
    <x v="1"/>
    <s v="Bag"/>
    <n v="7"/>
    <n v="142859.5"/>
    <n v="99016.91"/>
    <x v="4"/>
    <n v="43842.59"/>
    <s v="January"/>
    <x v="10"/>
    <n v="0.3068930662644066"/>
    <n v="1.3229516412735685E-3"/>
  </r>
  <r>
    <d v="2023-11-07T00:00:00"/>
    <x v="3"/>
    <s v="Chandigarh"/>
    <x v="2"/>
    <s v="Laptop"/>
    <n v="2"/>
    <n v="78060.800000000003"/>
    <n v="54952.13"/>
    <x v="1"/>
    <n v="23108.67"/>
    <s v="November"/>
    <x v="0"/>
    <n v="0.29603424510125437"/>
    <n v="7.2288271678906733E-4"/>
  </r>
  <r>
    <d v="2023-04-06T00:00:00"/>
    <x v="0"/>
    <s v="Patna"/>
    <x v="3"/>
    <s v="Table"/>
    <n v="3"/>
    <n v="71832"/>
    <n v="49006.25"/>
    <x v="1"/>
    <n v="22825.75"/>
    <s v="April"/>
    <x v="11"/>
    <n v="0.31776575899320636"/>
    <n v="6.6520086025754653E-4"/>
  </r>
  <r>
    <d v="2023-09-02T00:00:00"/>
    <x v="0"/>
    <s v="Bhubaneswar"/>
    <x v="0"/>
    <s v="Jeans"/>
    <n v="4"/>
    <n v="182336"/>
    <n v="118606.42"/>
    <x v="3"/>
    <n v="63729.58"/>
    <s v="September"/>
    <x v="3"/>
    <n v="0.34951726482976486"/>
    <n v="1.6885241125949438E-3"/>
  </r>
  <r>
    <d v="2023-12-25T00:00:00"/>
    <x v="2"/>
    <s v="Mumbai"/>
    <x v="1"/>
    <s v="Wallet"/>
    <n v="4"/>
    <n v="42240.800000000003"/>
    <n v="24200.799999999999"/>
    <x v="0"/>
    <n v="18040"/>
    <s v="December"/>
    <x v="4"/>
    <n v="0.42707524478703052"/>
    <n v="3.911712954945842E-4"/>
  </r>
  <r>
    <d v="2023-06-07T00:00:00"/>
    <x v="2"/>
    <s v="Mumbai"/>
    <x v="2"/>
    <s v="Smartphone"/>
    <n v="1"/>
    <n v="2040"/>
    <n v="1302.8599999999999"/>
    <x v="1"/>
    <n v="737.14"/>
    <s v="June"/>
    <x v="7"/>
    <n v="0.36134313725490197"/>
    <n v="1.8891437728664035E-5"/>
  </r>
  <r>
    <d v="2023-03-14T00:00:00"/>
    <x v="1"/>
    <s v="Chennai"/>
    <x v="3"/>
    <s v="Chair"/>
    <n v="1"/>
    <n v="20624"/>
    <n v="16435.900000000001"/>
    <x v="1"/>
    <n v="4188.1000000000004"/>
    <s v="March"/>
    <x v="9"/>
    <n v="0.20306923972071375"/>
    <n v="1.9098873123331718E-4"/>
  </r>
  <r>
    <d v="2023-03-02T00:00:00"/>
    <x v="0"/>
    <s v="Kolkata"/>
    <x v="2"/>
    <s v="Headphones"/>
    <n v="4"/>
    <n v="116578.8"/>
    <n v="91804.67"/>
    <x v="2"/>
    <n v="24774.13"/>
    <s v="March"/>
    <x v="9"/>
    <n v="0.21250973590395508"/>
    <n v="1.0795789905305778E-3"/>
  </r>
  <r>
    <d v="2023-07-18T00:00:00"/>
    <x v="3"/>
    <s v="Jaipur"/>
    <x v="1"/>
    <s v="Bag"/>
    <n v="7"/>
    <n v="232232"/>
    <n v="185157.7"/>
    <x v="1"/>
    <n v="47074.3"/>
    <s v="July"/>
    <x v="5"/>
    <n v="0.20270376175548591"/>
    <n v="2.1505864542172089E-3"/>
  </r>
  <r>
    <d v="2023-11-26T00:00:00"/>
    <x v="2"/>
    <s v="Ahmedabad"/>
    <x v="1"/>
    <s v="Wallet"/>
    <n v="5"/>
    <n v="65736"/>
    <n v="49805.58"/>
    <x v="1"/>
    <n v="15930.42"/>
    <s v="November"/>
    <x v="0"/>
    <n v="0.24233935742971888"/>
    <n v="6.0874879928012689E-4"/>
  </r>
  <r>
    <d v="2023-09-19T00:00:00"/>
    <x v="0"/>
    <s v="Patna"/>
    <x v="2"/>
    <s v="Smartphone"/>
    <n v="1"/>
    <n v="26482.2"/>
    <n v="19726.490000000002"/>
    <x v="0"/>
    <n v="6755.71"/>
    <s v="September"/>
    <x v="3"/>
    <n v="0.25510380557506551"/>
    <n v="2.452386432441307E-4"/>
  </r>
  <r>
    <d v="2023-08-29T00:00:00"/>
    <x v="3"/>
    <s v="Delhi"/>
    <x v="3"/>
    <s v="Sofa"/>
    <n v="7"/>
    <n v="296730"/>
    <n v="207508.78"/>
    <x v="2"/>
    <n v="89221.22"/>
    <s v="August"/>
    <x v="8"/>
    <n v="0.30068149496174973"/>
    <n v="2.74787074373847E-3"/>
  </r>
  <r>
    <d v="2023-06-09T00:00:00"/>
    <x v="3"/>
    <s v="Jaipur"/>
    <x v="3"/>
    <s v="Sofa"/>
    <n v="2"/>
    <n v="51850"/>
    <n v="30512.38"/>
    <x v="3"/>
    <n v="21337.62"/>
    <s v="June"/>
    <x v="7"/>
    <n v="0.41152594021215039"/>
    <n v="4.8015737560354419E-4"/>
  </r>
  <r>
    <d v="2023-12-23T00:00:00"/>
    <x v="0"/>
    <s v="Patna"/>
    <x v="2"/>
    <s v="Headphones"/>
    <n v="5"/>
    <n v="53610"/>
    <n v="37432.379999999997"/>
    <x v="3"/>
    <n v="16177.62"/>
    <s v="December"/>
    <x v="4"/>
    <n v="0.30176496922216006"/>
    <n v="4.9645587089886217E-4"/>
  </r>
  <r>
    <d v="2023-07-14T00:00:00"/>
    <x v="1"/>
    <s v="Hyderabad"/>
    <x v="2"/>
    <s v="Headphones"/>
    <n v="3"/>
    <n v="112562.1"/>
    <n v="75323.09"/>
    <x v="4"/>
    <n v="37239.01"/>
    <s v="July"/>
    <x v="5"/>
    <n v="0.33083080361862477"/>
    <n v="1.0423823052733597E-3"/>
  </r>
  <r>
    <d v="2023-08-14T00:00:00"/>
    <x v="3"/>
    <s v="Chandigarh"/>
    <x v="1"/>
    <s v="Bag"/>
    <n v="1"/>
    <n v="47042"/>
    <n v="32351.46"/>
    <x v="3"/>
    <n v="14690.54"/>
    <s v="August"/>
    <x v="8"/>
    <n v="0.31228561710811614"/>
    <n v="4.3563284981951639E-4"/>
  </r>
  <r>
    <d v="2023-02-06T00:00:00"/>
    <x v="2"/>
    <s v="Ahmedabad"/>
    <x v="3"/>
    <s v="Cupboard"/>
    <n v="3"/>
    <n v="12745.2"/>
    <n v="8706.89"/>
    <x v="0"/>
    <n v="4038.31"/>
    <s v="February"/>
    <x v="2"/>
    <n v="0.31684948058877066"/>
    <n v="1.1802703536243572E-4"/>
  </r>
  <r>
    <d v="2023-08-12T00:00:00"/>
    <x v="2"/>
    <s v="Mumbai"/>
    <x v="1"/>
    <s v="Watch"/>
    <n v="5"/>
    <n v="219203"/>
    <n v="147696.04999999999"/>
    <x v="0"/>
    <n v="71506.95"/>
    <s v="August"/>
    <x v="8"/>
    <n v="0.32621337299215797"/>
    <n v="2.0299312864884029E-3"/>
  </r>
  <r>
    <d v="2023-08-25T00:00:00"/>
    <x v="1"/>
    <s v="Bangalore"/>
    <x v="0"/>
    <s v="Jeans"/>
    <n v="3"/>
    <n v="5959.35"/>
    <n v="4087.78"/>
    <x v="0"/>
    <n v="1871.57"/>
    <s v="August"/>
    <x v="8"/>
    <n v="0.31405606316125079"/>
    <n v="5.518661246485981E-5"/>
  </r>
  <r>
    <d v="2023-06-18T00:00:00"/>
    <x v="3"/>
    <s v="Chandigarh"/>
    <x v="1"/>
    <s v="Belt"/>
    <n v="4"/>
    <n v="172641.6"/>
    <n v="132385.64000000001"/>
    <x v="2"/>
    <n v="40255.96"/>
    <s v="June"/>
    <x v="7"/>
    <n v="0.23317647658501772"/>
    <n v="1.5987490371455514E-3"/>
  </r>
  <r>
    <d v="2023-07-07T00:00:00"/>
    <x v="3"/>
    <s v="Jaipur"/>
    <x v="2"/>
    <s v="Laptop"/>
    <n v="5"/>
    <n v="198683.25"/>
    <n v="140002.72"/>
    <x v="4"/>
    <n v="58680.53"/>
    <s v="July"/>
    <x v="5"/>
    <n v="0.29534714174446008"/>
    <n v="1.8399079632860727E-3"/>
  </r>
  <r>
    <d v="2023-06-09T00:00:00"/>
    <x v="0"/>
    <s v="Kolkata"/>
    <x v="0"/>
    <s v="T-Shirt"/>
    <n v="2"/>
    <n v="5954.4"/>
    <n v="4583.51"/>
    <x v="2"/>
    <n v="1370.89"/>
    <s v="June"/>
    <x v="7"/>
    <n v="0.23023142550047027"/>
    <n v="5.5140772946841722E-5"/>
  </r>
  <r>
    <d v="2023-03-18T00:00:00"/>
    <x v="0"/>
    <s v="Kolkata"/>
    <x v="3"/>
    <s v="Sofa"/>
    <n v="7"/>
    <n v="161869.75"/>
    <n v="111535.61"/>
    <x v="4"/>
    <n v="50334.14"/>
    <s v="March"/>
    <x v="9"/>
    <n v="0.31095457922187436"/>
    <n v="1.4989962266075563E-3"/>
  </r>
  <r>
    <d v="2023-12-26T00:00:00"/>
    <x v="3"/>
    <s v="Jaipur"/>
    <x v="3"/>
    <s v="Cupboard"/>
    <n v="5"/>
    <n v="51910"/>
    <n v="35815.879999999997"/>
    <x v="3"/>
    <n v="16094.12"/>
    <s v="December"/>
    <x v="4"/>
    <n v="0.31003891350414181"/>
    <n v="4.8071300612497549E-4"/>
  </r>
  <r>
    <d v="2023-03-15T00:00:00"/>
    <x v="0"/>
    <s v="Patna"/>
    <x v="1"/>
    <s v="Wallet"/>
    <n v="5"/>
    <n v="6781.5"/>
    <n v="5020.05"/>
    <x v="2"/>
    <n v="1761.45"/>
    <s v="March"/>
    <x v="9"/>
    <n v="0.25974341959743419"/>
    <n v="6.2800139684772126E-5"/>
  </r>
  <r>
    <d v="2023-07-15T00:00:00"/>
    <x v="3"/>
    <s v="Chandigarh"/>
    <x v="0"/>
    <s v="Shirt"/>
    <n v="4"/>
    <n v="114080"/>
    <n v="65667.58"/>
    <x v="1"/>
    <n v="48412.42"/>
    <s v="July"/>
    <x v="5"/>
    <n v="0.42437254558204768"/>
    <n v="1.0564388314147025E-3"/>
  </r>
  <r>
    <d v="2023-07-12T00:00:00"/>
    <x v="2"/>
    <s v="Pune"/>
    <x v="1"/>
    <s v="Belt"/>
    <n v="1"/>
    <n v="15359"/>
    <n v="10682.84"/>
    <x v="3"/>
    <n v="4676.16"/>
    <s v="July"/>
    <x v="5"/>
    <n v="0.30445732144019794"/>
    <n v="1.4223215297772102E-4"/>
  </r>
  <r>
    <d v="2023-09-08T00:00:00"/>
    <x v="1"/>
    <s v="Chennai"/>
    <x v="1"/>
    <s v="Belt"/>
    <n v="2"/>
    <n v="4564.8"/>
    <n v="3019.57"/>
    <x v="1"/>
    <n v="1545.23"/>
    <s v="September"/>
    <x v="3"/>
    <n v="0.33850990185769364"/>
    <n v="4.2272370070492931E-5"/>
  </r>
  <r>
    <d v="2023-01-26T00:00:00"/>
    <x v="0"/>
    <s v="Kolkata"/>
    <x v="1"/>
    <s v="Belt"/>
    <n v="5"/>
    <n v="200538"/>
    <n v="122955.3"/>
    <x v="2"/>
    <n v="77582.7"/>
    <s v="January"/>
    <x v="10"/>
    <n v="0.3868728121353559"/>
    <n v="1.8570838917798176E-3"/>
  </r>
  <r>
    <d v="2023-02-08T00:00:00"/>
    <x v="1"/>
    <s v="Chennai"/>
    <x v="3"/>
    <s v="Chair"/>
    <n v="4"/>
    <n v="53236.800000000003"/>
    <n v="35287.839999999997"/>
    <x v="2"/>
    <n v="17948.96"/>
    <s v="February"/>
    <x v="2"/>
    <n v="0.33715324737775371"/>
    <n v="4.9299984905555952E-4"/>
  </r>
  <r>
    <d v="2023-03-25T00:00:00"/>
    <x v="0"/>
    <s v="Bhubaneswar"/>
    <x v="2"/>
    <s v="Laptop"/>
    <n v="3"/>
    <n v="68146.350000000006"/>
    <n v="50646.76"/>
    <x v="0"/>
    <n v="17499.59"/>
    <s v="March"/>
    <x v="9"/>
    <n v="0.25679423769578263"/>
    <n v="6.310698664023257E-4"/>
  </r>
  <r>
    <d v="2023-01-21T00:00:00"/>
    <x v="1"/>
    <s v="Hyderabad"/>
    <x v="0"/>
    <s v="Jacket"/>
    <n v="1"/>
    <n v="38176.050000000003"/>
    <n v="21295.58"/>
    <x v="4"/>
    <n v="16880.47"/>
    <s v="January"/>
    <x v="10"/>
    <n v="0.44217434752940654"/>
    <n v="3.5352964279478658E-4"/>
  </r>
  <r>
    <d v="2023-09-14T00:00:00"/>
    <x v="0"/>
    <s v="Kolkata"/>
    <x v="0"/>
    <s v="Shirt"/>
    <n v="6"/>
    <n v="209700"/>
    <n v="138522.51"/>
    <x v="3"/>
    <n v="71177.490000000005"/>
    <s v="September"/>
    <x v="3"/>
    <n v="0.33942532188841207"/>
    <n v="1.9419286724023765E-3"/>
  </r>
  <r>
    <d v="2023-01-12T00:00:00"/>
    <x v="1"/>
    <s v="Chennai"/>
    <x v="0"/>
    <s v="Jeans"/>
    <n v="5"/>
    <n v="243950"/>
    <n v="173916.03"/>
    <x v="3"/>
    <n v="70033.97"/>
    <s v="January"/>
    <x v="10"/>
    <n v="0.28708329575732733"/>
    <n v="2.2591010950527408E-3"/>
  </r>
  <r>
    <d v="2023-05-25T00:00:00"/>
    <x v="1"/>
    <s v="Hyderabad"/>
    <x v="1"/>
    <s v="Wallet"/>
    <n v="3"/>
    <n v="88931.25"/>
    <n v="53036.94"/>
    <x v="4"/>
    <n v="35894.31"/>
    <s v="May"/>
    <x v="6"/>
    <n v="0.40361863799283154"/>
    <n v="8.2354861348394768E-4"/>
  </r>
  <r>
    <d v="2023-12-15T00:00:00"/>
    <x v="3"/>
    <s v="Delhi"/>
    <x v="1"/>
    <s v="Belt"/>
    <n v="3"/>
    <n v="134705.25"/>
    <n v="99716.37"/>
    <x v="0"/>
    <n v="34988.879999999997"/>
    <s v="December"/>
    <x v="4"/>
    <n v="0.25974399661483127"/>
    <n v="1.2474391382838828E-3"/>
  </r>
  <r>
    <d v="2023-09-30T00:00:00"/>
    <x v="2"/>
    <s v="Mumbai"/>
    <x v="1"/>
    <s v="Wallet"/>
    <n v="2"/>
    <n v="31502"/>
    <n v="17335.8"/>
    <x v="3"/>
    <n v="14166.2"/>
    <s v="September"/>
    <x v="3"/>
    <n v="0.44969208304234654"/>
    <n v="2.91724544768811E-4"/>
  </r>
  <r>
    <d v="2023-12-10T00:00:00"/>
    <x v="1"/>
    <s v="Bangalore"/>
    <x v="3"/>
    <s v="Cupboard"/>
    <n v="1"/>
    <n v="4487.2"/>
    <n v="2769.72"/>
    <x v="1"/>
    <n v="1717.48"/>
    <s v="December"/>
    <x v="4"/>
    <n v="0.38275093599572119"/>
    <n v="4.1553754596108452E-5"/>
  </r>
  <r>
    <d v="2023-11-16T00:00:00"/>
    <x v="2"/>
    <s v="Ahmedabad"/>
    <x v="1"/>
    <s v="Watch"/>
    <n v="1"/>
    <n v="29948"/>
    <n v="17013.810000000001"/>
    <x v="1"/>
    <n v="12934.19"/>
    <s v="November"/>
    <x v="0"/>
    <n v="0.4318882730065447"/>
    <n v="2.7733371426374043E-4"/>
  </r>
  <r>
    <d v="2023-10-16T00:00:00"/>
    <x v="1"/>
    <s v="Chennai"/>
    <x v="0"/>
    <s v="Jacket"/>
    <n v="6"/>
    <n v="143872.20000000001"/>
    <n v="104126.85"/>
    <x v="2"/>
    <n v="39745.35"/>
    <s v="October"/>
    <x v="1"/>
    <n v="0.27625455091393608"/>
    <n v="1.3323297584244597E-3"/>
  </r>
  <r>
    <d v="2023-03-17T00:00:00"/>
    <x v="2"/>
    <s v="Pune"/>
    <x v="2"/>
    <s v="Headphones"/>
    <n v="3"/>
    <n v="90398.7"/>
    <n v="52090.67"/>
    <x v="2"/>
    <n v="38308.03"/>
    <s v="March"/>
    <x v="9"/>
    <n v="0.42376748780679369"/>
    <n v="8.3713794696185361E-4"/>
  </r>
  <r>
    <d v="2023-07-21T00:00:00"/>
    <x v="3"/>
    <s v="Chandigarh"/>
    <x v="1"/>
    <s v="Belt"/>
    <n v="6"/>
    <n v="154433.1"/>
    <n v="112059.17"/>
    <x v="4"/>
    <n v="42373.93"/>
    <s v="July"/>
    <x v="5"/>
    <n v="0.27438372991282306"/>
    <n v="1.4301290646541892E-3"/>
  </r>
  <r>
    <d v="2023-03-18T00:00:00"/>
    <x v="2"/>
    <s v="Pune"/>
    <x v="1"/>
    <s v="Watch"/>
    <n v="2"/>
    <n v="13736"/>
    <n v="10585.42"/>
    <x v="3"/>
    <n v="3150.58"/>
    <s v="March"/>
    <x v="9"/>
    <n v="0.22936662783925452"/>
    <n v="1.272023473730045E-4"/>
  </r>
  <r>
    <d v="2023-05-23T00:00:00"/>
    <x v="2"/>
    <s v="Pune"/>
    <x v="3"/>
    <s v="Sofa"/>
    <n v="2"/>
    <n v="30447.5"/>
    <n v="21994.25"/>
    <x v="0"/>
    <n v="8453.25"/>
    <s v="May"/>
    <x v="6"/>
    <n v="0.27763363166105592"/>
    <n v="2.8195933835465595E-4"/>
  </r>
  <r>
    <d v="2023-01-09T00:00:00"/>
    <x v="1"/>
    <s v="Chennai"/>
    <x v="0"/>
    <s v="Shirt"/>
    <n v="1"/>
    <n v="5272"/>
    <n v="3830.74"/>
    <x v="1"/>
    <n v="1441.26"/>
    <s v="January"/>
    <x v="10"/>
    <n v="0.27338012139605461"/>
    <n v="4.8821401816429799E-5"/>
  </r>
  <r>
    <d v="2023-03-25T00:00:00"/>
    <x v="1"/>
    <s v="Bangalore"/>
    <x v="0"/>
    <s v="Jacket"/>
    <n v="1"/>
    <n v="24501.45"/>
    <n v="17306.02"/>
    <x v="0"/>
    <n v="7195.43"/>
    <s v="March"/>
    <x v="9"/>
    <n v="0.2936736397233633"/>
    <n v="2.2689589065538008E-4"/>
  </r>
  <r>
    <d v="2023-11-10T00:00:00"/>
    <x v="1"/>
    <s v="Hyderabad"/>
    <x v="0"/>
    <s v="Jacket"/>
    <n v="7"/>
    <n v="200669.7"/>
    <n v="138110.99"/>
    <x v="4"/>
    <n v="62558.71"/>
    <s v="November"/>
    <x v="0"/>
    <n v="0.31174965627595991"/>
    <n v="1.8583035007743594E-3"/>
  </r>
  <r>
    <d v="2023-01-12T00:00:00"/>
    <x v="1"/>
    <s v="Chennai"/>
    <x v="0"/>
    <s v="Jacket"/>
    <n v="7"/>
    <n v="129638.6"/>
    <n v="95011.79"/>
    <x v="4"/>
    <n v="34626.81"/>
    <s v="January"/>
    <x v="10"/>
    <n v="0.26710262221282854"/>
    <n v="1.2005193819270516E-3"/>
  </r>
  <r>
    <d v="2023-12-22T00:00:00"/>
    <x v="0"/>
    <s v="Kolkata"/>
    <x v="2"/>
    <s v="Laptop"/>
    <n v="3"/>
    <n v="73561.5"/>
    <n v="58405.35"/>
    <x v="2"/>
    <n v="15156.15"/>
    <s v="December"/>
    <x v="4"/>
    <n v="0.20603372688158886"/>
    <n v="6.8121691003780358E-4"/>
  </r>
  <r>
    <d v="2023-07-30T00:00:00"/>
    <x v="3"/>
    <s v="Delhi"/>
    <x v="0"/>
    <s v="T-Shirt"/>
    <n v="7"/>
    <n v="172689.3"/>
    <n v="101958.89"/>
    <x v="2"/>
    <n v="70730.41"/>
    <s v="July"/>
    <x v="5"/>
    <n v="0.40958189071355322"/>
    <n v="1.599190763410089E-3"/>
  </r>
  <r>
    <d v="2023-08-31T00:00:00"/>
    <x v="1"/>
    <s v="Bangalore"/>
    <x v="1"/>
    <s v="Wallet"/>
    <n v="1"/>
    <n v="23542.2"/>
    <n v="13428.04"/>
    <x v="2"/>
    <n v="10114.16"/>
    <s v="August"/>
    <x v="8"/>
    <n v="0.42961830245261701"/>
    <n v="2.1801274769399728E-4"/>
  </r>
  <r>
    <d v="2023-11-01T00:00:00"/>
    <x v="0"/>
    <s v="Kolkata"/>
    <x v="2"/>
    <s v="Smartphone"/>
    <n v="7"/>
    <n v="327502"/>
    <n v="248938.56"/>
    <x v="3"/>
    <n v="78563.44"/>
    <s v="November"/>
    <x v="0"/>
    <n v="0.23988690145403693"/>
    <n v="3.0328351171632004E-3"/>
  </r>
  <r>
    <d v="2023-08-08T00:00:00"/>
    <x v="1"/>
    <s v="Bangalore"/>
    <x v="0"/>
    <s v="Jeans"/>
    <n v="5"/>
    <n v="150190.75"/>
    <n v="106213.58"/>
    <x v="4"/>
    <n v="43977.17"/>
    <s v="August"/>
    <x v="8"/>
    <n v="0.29280877817042661"/>
    <n v="1.3908427456109547E-3"/>
  </r>
  <r>
    <d v="2023-04-27T00:00:00"/>
    <x v="2"/>
    <s v="Pune"/>
    <x v="1"/>
    <s v="Wallet"/>
    <n v="2"/>
    <n v="31564"/>
    <n v="20821.310000000001"/>
    <x v="3"/>
    <n v="10742.69"/>
    <s v="April"/>
    <x v="11"/>
    <n v="0.34034628057280447"/>
    <n v="2.9229869630762329E-4"/>
  </r>
  <r>
    <d v="2023-07-05T00:00:00"/>
    <x v="1"/>
    <s v="Chennai"/>
    <x v="0"/>
    <s v="Jeans"/>
    <n v="4"/>
    <n v="174230"/>
    <n v="139041.35"/>
    <x v="0"/>
    <n v="35188.65"/>
    <s v="July"/>
    <x v="5"/>
    <n v="0.20196665327440741"/>
    <n v="1.6134584291495758E-3"/>
  </r>
  <r>
    <d v="2023-12-21T00:00:00"/>
    <x v="1"/>
    <s v="Bangalore"/>
    <x v="1"/>
    <s v="Belt"/>
    <n v="5"/>
    <n v="135188"/>
    <n v="99130.42"/>
    <x v="1"/>
    <n v="36057.58"/>
    <s v="December"/>
    <x v="4"/>
    <n v="0.26672175045122348"/>
    <n v="1.2519096488542321E-3"/>
  </r>
  <r>
    <d v="2023-11-21T00:00:00"/>
    <x v="1"/>
    <s v="Chennai"/>
    <x v="0"/>
    <s v="Jeans"/>
    <n v="4"/>
    <n v="3895"/>
    <n v="2318.48"/>
    <x v="0"/>
    <n v="1576.52"/>
    <s v="November"/>
    <x v="0"/>
    <n v="0.40475481386392809"/>
    <n v="3.6069681349581576E-5"/>
  </r>
  <r>
    <d v="2023-08-19T00:00:00"/>
    <x v="1"/>
    <s v="Bangalore"/>
    <x v="2"/>
    <s v="Smartphone"/>
    <n v="6"/>
    <n v="148910.39999999999"/>
    <n v="98478.37"/>
    <x v="1"/>
    <n v="50432.03"/>
    <s v="August"/>
    <x v="8"/>
    <n v="0.33867365879078964"/>
    <n v="1.3789860533090453E-3"/>
  </r>
  <r>
    <d v="2023-08-17T00:00:00"/>
    <x v="3"/>
    <s v="Chandigarh"/>
    <x v="0"/>
    <s v="Jeans"/>
    <n v="1"/>
    <n v="23048.6"/>
    <n v="14164.13"/>
    <x v="4"/>
    <n v="8884.4699999999993"/>
    <s v="August"/>
    <x v="8"/>
    <n v="0.38546679624792829"/>
    <n v="2.1344176060435579E-4"/>
  </r>
  <r>
    <d v="2023-10-14T00:00:00"/>
    <x v="3"/>
    <s v="Jaipur"/>
    <x v="2"/>
    <s v="Headphones"/>
    <n v="4"/>
    <n v="105340.8"/>
    <n v="64179.62"/>
    <x v="1"/>
    <n v="41161.18"/>
    <s v="October"/>
    <x v="1"/>
    <n v="0.39074299796470124"/>
    <n v="9.7550939386649622E-4"/>
  </r>
  <r>
    <d v="2023-11-28T00:00:00"/>
    <x v="0"/>
    <s v="Patna"/>
    <x v="0"/>
    <s v="Jeans"/>
    <n v="6"/>
    <n v="64586.7"/>
    <n v="42768.95"/>
    <x v="0"/>
    <n v="21817.75"/>
    <s v="November"/>
    <x v="0"/>
    <n v="0.33780561632658118"/>
    <n v="5.9810569664211046E-4"/>
  </r>
  <r>
    <d v="2023-11-09T00:00:00"/>
    <x v="1"/>
    <s v="Bangalore"/>
    <x v="2"/>
    <s v="Laptop"/>
    <n v="4"/>
    <n v="140986.79999999999"/>
    <n v="110977.17"/>
    <x v="2"/>
    <n v="30009.63"/>
    <s v="November"/>
    <x v="0"/>
    <n v="0.21285418209364285"/>
    <n v="1.3056094866488285E-3"/>
  </r>
  <r>
    <d v="2023-07-23T00:00:00"/>
    <x v="2"/>
    <s v="Pune"/>
    <x v="1"/>
    <s v="Wallet"/>
    <n v="1"/>
    <n v="29156.799999999999"/>
    <n v="18636.53"/>
    <x v="1"/>
    <n v="10520.27"/>
    <s v="July"/>
    <x v="5"/>
    <n v="0.36081703067551996"/>
    <n v="2.7000679978779973E-4"/>
  </r>
  <r>
    <d v="2023-04-18T00:00:00"/>
    <x v="3"/>
    <s v="Delhi"/>
    <x v="2"/>
    <s v="Headphones"/>
    <n v="4"/>
    <n v="49759"/>
    <n v="38118.080000000002"/>
    <x v="4"/>
    <n v="11640.92"/>
    <s v="April"/>
    <x v="11"/>
    <n v="0.23394601981551078"/>
    <n v="4.6079365193166358E-4"/>
  </r>
  <r>
    <d v="2023-01-20T00:00:00"/>
    <x v="0"/>
    <s v="Kolkata"/>
    <x v="1"/>
    <s v="Bag"/>
    <n v="6"/>
    <n v="99006"/>
    <n v="67600.539999999994"/>
    <x v="3"/>
    <n v="31405.46"/>
    <s v="January"/>
    <x v="10"/>
    <n v="0.31720764398117285"/>
    <n v="9.1684592341378002E-4"/>
  </r>
  <r>
    <d v="2023-11-21T00:00:00"/>
    <x v="1"/>
    <s v="Bangalore"/>
    <x v="2"/>
    <s v="Tablet"/>
    <n v="3"/>
    <n v="50824.800000000003"/>
    <n v="39819.64"/>
    <x v="1"/>
    <n v="11005.16"/>
    <s v="November"/>
    <x v="0"/>
    <n v="0.21653129968047094"/>
    <n v="4.7066350209402149E-4"/>
  </r>
  <r>
    <d v="2023-09-08T00:00:00"/>
    <x v="3"/>
    <s v="Delhi"/>
    <x v="0"/>
    <s v="Jeans"/>
    <n v="4"/>
    <n v="133552"/>
    <n v="89476.4"/>
    <x v="1"/>
    <n v="44075.6"/>
    <s v="September"/>
    <x v="3"/>
    <n v="0.33002575775727805"/>
    <n v="1.2367594566365387E-3"/>
  </r>
  <r>
    <d v="2023-10-21T00:00:00"/>
    <x v="0"/>
    <s v="Patna"/>
    <x v="3"/>
    <s v="Chair"/>
    <n v="2"/>
    <n v="28616.400000000001"/>
    <n v="19236.28"/>
    <x v="2"/>
    <n v="9380.1200000000008"/>
    <s v="October"/>
    <x v="1"/>
    <n v="0.32778826127675043"/>
    <n v="2.6500242089144189E-4"/>
  </r>
  <r>
    <d v="2023-01-08T00:00:00"/>
    <x v="2"/>
    <s v="Ahmedabad"/>
    <x v="1"/>
    <s v="Bag"/>
    <n v="5"/>
    <n v="62201.25"/>
    <n v="37349.57"/>
    <x v="0"/>
    <n v="24851.68"/>
    <s v="January"/>
    <x v="10"/>
    <n v="0.39953666525994253"/>
    <n v="5.7601521618630576E-4"/>
  </r>
  <r>
    <d v="2023-06-24T00:00:00"/>
    <x v="1"/>
    <s v="Bangalore"/>
    <x v="2"/>
    <s v="Tablet"/>
    <n v="5"/>
    <n v="163148"/>
    <n v="129023.43"/>
    <x v="1"/>
    <n v="34124.57"/>
    <s v="June"/>
    <x v="7"/>
    <n v="0.20916327506313287"/>
    <n v="1.5108334718412155E-3"/>
  </r>
  <r>
    <d v="2023-01-26T00:00:00"/>
    <x v="1"/>
    <s v="Bangalore"/>
    <x v="0"/>
    <s v="Jacket"/>
    <n v="2"/>
    <n v="43648.7"/>
    <n v="26670.959999999999"/>
    <x v="0"/>
    <n v="16977.740000000002"/>
    <s v="January"/>
    <x v="10"/>
    <n v="0.38896324518255992"/>
    <n v="4.0420916567996946E-4"/>
  </r>
  <r>
    <d v="2023-10-16T00:00:00"/>
    <x v="2"/>
    <s v="Ahmedabad"/>
    <x v="1"/>
    <s v="Watch"/>
    <n v="4"/>
    <n v="173292"/>
    <n v="125182.97"/>
    <x v="3"/>
    <n v="48109.03"/>
    <s v="October"/>
    <x v="1"/>
    <n v="0.27761829744015881"/>
    <n v="1.6047720719978666E-3"/>
  </r>
  <r>
    <d v="2023-08-08T00:00:00"/>
    <x v="3"/>
    <s v="Jaipur"/>
    <x v="0"/>
    <s v="Shirt"/>
    <n v="6"/>
    <n v="96038.399999999994"/>
    <n v="66679.11"/>
    <x v="1"/>
    <n v="29359.29"/>
    <s v="August"/>
    <x v="8"/>
    <n v="0.30570365603758498"/>
    <n v="8.8936443782378809E-4"/>
  </r>
  <r>
    <d v="2023-06-25T00:00:00"/>
    <x v="1"/>
    <s v="Chennai"/>
    <x v="1"/>
    <s v="Bag"/>
    <n v="7"/>
    <n v="43428"/>
    <n v="28303.200000000001"/>
    <x v="3"/>
    <n v="15124.8"/>
    <s v="June"/>
    <x v="7"/>
    <n v="0.34827300359215252"/>
    <n v="4.0216537141197139E-4"/>
  </r>
  <r>
    <d v="2023-04-12T00:00:00"/>
    <x v="3"/>
    <s v="Delhi"/>
    <x v="2"/>
    <s v="Laptop"/>
    <n v="7"/>
    <n v="6224.4"/>
    <n v="4790.4799999999996"/>
    <x v="2"/>
    <n v="1433.92"/>
    <s v="April"/>
    <x v="11"/>
    <n v="0.23037079879185146"/>
    <n v="5.7641110293282549E-5"/>
  </r>
  <r>
    <d v="2023-12-05T00:00:00"/>
    <x v="1"/>
    <s v="Chennai"/>
    <x v="0"/>
    <s v="Jeans"/>
    <n v="2"/>
    <n v="13217.6"/>
    <n v="9905.98"/>
    <x v="1"/>
    <n v="3311.62"/>
    <s v="December"/>
    <x v="4"/>
    <n v="0.25054624137513615"/>
    <n v="1.2240169966783811E-4"/>
  </r>
  <r>
    <d v="2023-03-06T00:00:00"/>
    <x v="3"/>
    <s v="Jaipur"/>
    <x v="2"/>
    <s v="Headphones"/>
    <n v="6"/>
    <n v="253686"/>
    <n v="160353.73000000001"/>
    <x v="3"/>
    <n v="93332.27"/>
    <s v="March"/>
    <x v="9"/>
    <n v="0.36790469320340896"/>
    <n v="2.349261407663659E-3"/>
  </r>
  <r>
    <d v="2023-11-01T00:00:00"/>
    <x v="2"/>
    <s v="Pune"/>
    <x v="0"/>
    <s v="Jacket"/>
    <n v="5"/>
    <n v="53881.5"/>
    <n v="37023.32"/>
    <x v="4"/>
    <n v="16858.18"/>
    <s v="November"/>
    <x v="0"/>
    <n v="0.31287510555571024"/>
    <n v="4.989700990083388E-4"/>
  </r>
  <r>
    <d v="2023-11-26T00:00:00"/>
    <x v="2"/>
    <s v="Mumbai"/>
    <x v="0"/>
    <s v="Shirt"/>
    <n v="6"/>
    <n v="241909.2"/>
    <n v="143237.12"/>
    <x v="2"/>
    <n v="98672.08"/>
    <s v="November"/>
    <x v="0"/>
    <n v="0.40788891038455749"/>
    <n v="2.2402022489171245E-3"/>
  </r>
  <r>
    <d v="2023-04-27T00:00:00"/>
    <x v="1"/>
    <s v="Chennai"/>
    <x v="2"/>
    <s v="Tablet"/>
    <n v="5"/>
    <n v="137469.75"/>
    <n v="92076.62"/>
    <x v="0"/>
    <n v="45393.13"/>
    <s v="April"/>
    <x v="11"/>
    <n v="0.3302044995353523"/>
    <n v="1.2730398145588296E-3"/>
  </r>
  <r>
    <d v="2023-08-16T00:00:00"/>
    <x v="3"/>
    <s v="Chandigarh"/>
    <x v="2"/>
    <s v="Headphones"/>
    <n v="5"/>
    <n v="67412"/>
    <n v="41223.61"/>
    <x v="1"/>
    <n v="26188.39"/>
    <s v="August"/>
    <x v="8"/>
    <n v="0.38848261437132853"/>
    <n v="6.242694118454411E-4"/>
  </r>
  <r>
    <d v="2023-01-21T00:00:00"/>
    <x v="0"/>
    <s v="Bhubaneswar"/>
    <x v="1"/>
    <s v="Belt"/>
    <n v="6"/>
    <n v="95036.1"/>
    <n v="69269.22"/>
    <x v="0"/>
    <n v="25766.880000000001"/>
    <s v="January"/>
    <x v="10"/>
    <n v="0.27112728742025399"/>
    <n v="8.800826299632785E-4"/>
  </r>
  <r>
    <d v="2023-10-19T00:00:00"/>
    <x v="0"/>
    <s v="Bhubaneswar"/>
    <x v="0"/>
    <s v="Shirt"/>
    <n v="7"/>
    <n v="168170.8"/>
    <n v="132630.43"/>
    <x v="4"/>
    <n v="35540.370000000003"/>
    <s v="October"/>
    <x v="1"/>
    <n v="0.21133496421495293"/>
    <n v="1.5573471548919672E-3"/>
  </r>
  <r>
    <d v="2023-02-21T00:00:00"/>
    <x v="0"/>
    <s v="Bhubaneswar"/>
    <x v="0"/>
    <s v="Shirt"/>
    <n v="5"/>
    <n v="224064"/>
    <n v="128916.39"/>
    <x v="2"/>
    <n v="95147.61"/>
    <s v="February"/>
    <x v="2"/>
    <n v="0.42464478898886032"/>
    <n v="2.0749466192330284E-3"/>
  </r>
  <r>
    <d v="2023-05-26T00:00:00"/>
    <x v="1"/>
    <s v="Hyderabad"/>
    <x v="2"/>
    <s v="Tablet"/>
    <n v="4"/>
    <n v="119738"/>
    <n v="84125.94"/>
    <x v="0"/>
    <n v="35612.06"/>
    <s v="May"/>
    <x v="6"/>
    <n v="0.29741652608194558"/>
    <n v="1.1088347895856735E-3"/>
  </r>
  <r>
    <d v="2023-04-18T00:00:00"/>
    <x v="1"/>
    <s v="Bangalore"/>
    <x v="2"/>
    <s v="Headphones"/>
    <n v="2"/>
    <n v="38392.199999999997"/>
    <n v="22298.41"/>
    <x v="2"/>
    <n v="16093.79"/>
    <s v="April"/>
    <x v="11"/>
    <n v="0.41919426341809018"/>
    <n v="3.5553130174824279E-4"/>
  </r>
  <r>
    <d v="2023-10-25T00:00:00"/>
    <x v="1"/>
    <s v="Hyderabad"/>
    <x v="2"/>
    <s v="Tablet"/>
    <n v="7"/>
    <n v="167902"/>
    <n v="116159.31"/>
    <x v="3"/>
    <n v="51742.69"/>
    <s v="October"/>
    <x v="1"/>
    <n v="0.30817196936308083"/>
    <n v="1.5548579301559553E-3"/>
  </r>
  <r>
    <d v="2023-05-21T00:00:00"/>
    <x v="2"/>
    <s v="Pune"/>
    <x v="0"/>
    <s v="Jeans"/>
    <n v="1"/>
    <n v="17740"/>
    <n v="12565.03"/>
    <x v="1"/>
    <n v="5174.97"/>
    <s v="May"/>
    <x v="6"/>
    <n v="0.29171195039458853"/>
    <n v="1.6428142416985292E-4"/>
  </r>
  <r>
    <d v="2023-09-28T00:00:00"/>
    <x v="0"/>
    <s v="Patna"/>
    <x v="3"/>
    <s v="Chair"/>
    <n v="6"/>
    <n v="59610"/>
    <n v="44614.27"/>
    <x v="3"/>
    <n v="14995.73"/>
    <s v="September"/>
    <x v="3"/>
    <n v="0.25156399932897167"/>
    <n v="5.5201892304199173E-4"/>
  </r>
  <r>
    <d v="2023-10-20T00:00:00"/>
    <x v="1"/>
    <s v="Chennai"/>
    <x v="2"/>
    <s v="Laptop"/>
    <n v="2"/>
    <n v="13590"/>
    <n v="8279.27"/>
    <x v="3"/>
    <n v="5310.73"/>
    <s v="October"/>
    <x v="1"/>
    <n v="0.39078219278881526"/>
    <n v="1.2585031310418835E-4"/>
  </r>
  <r>
    <d v="2023-06-13T00:00:00"/>
    <x v="2"/>
    <s v="Pune"/>
    <x v="1"/>
    <s v="Belt"/>
    <n v="4"/>
    <n v="29362.6"/>
    <n v="22091.91"/>
    <x v="0"/>
    <n v="7270.69"/>
    <s v="June"/>
    <x v="7"/>
    <n v="0.24761737720774046"/>
    <n v="2.7191261247630906E-4"/>
  </r>
  <r>
    <d v="2023-06-10T00:00:00"/>
    <x v="1"/>
    <s v="Bangalore"/>
    <x v="0"/>
    <s v="Jeans"/>
    <n v="5"/>
    <n v="119970"/>
    <n v="92054.77"/>
    <x v="2"/>
    <n v="27915.23"/>
    <s v="June"/>
    <x v="7"/>
    <n v="0.23268508793865134"/>
    <n v="1.1109832276018745E-3"/>
  </r>
  <r>
    <d v="2023-06-09T00:00:00"/>
    <x v="0"/>
    <s v="Kolkata"/>
    <x v="2"/>
    <s v="Smartphone"/>
    <n v="5"/>
    <n v="74313"/>
    <n v="52150.89"/>
    <x v="2"/>
    <n v="22162.11"/>
    <s v="June"/>
    <x v="7"/>
    <n v="0.29822655524605385"/>
    <n v="6.8817618231873051E-4"/>
  </r>
  <r>
    <d v="2023-09-15T00:00:00"/>
    <x v="0"/>
    <s v="Patna"/>
    <x v="2"/>
    <s v="Smartphone"/>
    <n v="5"/>
    <n v="199600"/>
    <n v="134568.67000000001"/>
    <x v="3"/>
    <n v="65031.33"/>
    <s v="September"/>
    <x v="3"/>
    <n v="0.32580826653306616"/>
    <n v="1.8483975346281084E-3"/>
  </r>
  <r>
    <d v="2023-06-16T00:00:00"/>
    <x v="2"/>
    <s v="Ahmedabad"/>
    <x v="0"/>
    <s v="T-Shirt"/>
    <n v="2"/>
    <n v="55065.8"/>
    <n v="36180.980000000003"/>
    <x v="0"/>
    <n v="18884.82"/>
    <s v="June"/>
    <x v="7"/>
    <n v="0.34295007064275829"/>
    <n v="5.0993731945052356E-4"/>
  </r>
  <r>
    <d v="2023-10-15T00:00:00"/>
    <x v="3"/>
    <s v="Delhi"/>
    <x v="0"/>
    <s v="Jacket"/>
    <n v="4"/>
    <n v="148074.6"/>
    <n v="93924.72"/>
    <x v="0"/>
    <n v="54149.88"/>
    <s v="October"/>
    <x v="1"/>
    <n v="0.36569323840820772"/>
    <n v="1.3712461201455075E-3"/>
  </r>
  <r>
    <d v="2023-05-16T00:00:00"/>
    <x v="0"/>
    <s v="Kolkata"/>
    <x v="3"/>
    <s v="Cupboard"/>
    <n v="5"/>
    <n v="195109"/>
    <n v="116668.71"/>
    <x v="4"/>
    <n v="78440.289999999994"/>
    <s v="May"/>
    <x v="6"/>
    <n v="0.40203317120173848"/>
    <n v="1.806808590098976E-3"/>
  </r>
  <r>
    <d v="2023-01-05T00:00:00"/>
    <x v="3"/>
    <s v="Jaipur"/>
    <x v="3"/>
    <s v="Chair"/>
    <n v="7"/>
    <n v="42863.8"/>
    <n v="24299.62"/>
    <x v="4"/>
    <n v="18564.18"/>
    <s v="January"/>
    <x v="10"/>
    <n v="0.43309692561088842"/>
    <n v="3.9694059240877913E-4"/>
  </r>
  <r>
    <d v="2023-10-27T00:00:00"/>
    <x v="2"/>
    <s v="Ahmedabad"/>
    <x v="1"/>
    <s v="Watch"/>
    <n v="6"/>
    <n v="199517.1"/>
    <n v="143658.89000000001"/>
    <x v="0"/>
    <n v="55858.21"/>
    <s v="October"/>
    <x v="1"/>
    <n v="0.27996703039488846"/>
    <n v="1.8476298384576641E-3"/>
  </r>
  <r>
    <d v="2023-07-28T00:00:00"/>
    <x v="3"/>
    <s v="Chandigarh"/>
    <x v="0"/>
    <s v="Jeans"/>
    <n v="6"/>
    <n v="29319.9"/>
    <n v="20977.21"/>
    <x v="4"/>
    <n v="8342.69"/>
    <s v="July"/>
    <x v="5"/>
    <n v="0.28454019283831117"/>
    <n v="2.7151718875522384E-4"/>
  </r>
  <r>
    <d v="2023-11-29T00:00:00"/>
    <x v="0"/>
    <s v="Patna"/>
    <x v="0"/>
    <s v="Jeans"/>
    <n v="4"/>
    <n v="110523.8"/>
    <n v="63240.82"/>
    <x v="4"/>
    <n v="47282.98"/>
    <s v="November"/>
    <x v="0"/>
    <n v="0.42780812820406106"/>
    <n v="1.0235066104094697E-3"/>
  </r>
  <r>
    <d v="2023-05-01T00:00:00"/>
    <x v="3"/>
    <s v="Jaipur"/>
    <x v="0"/>
    <s v="T-Shirt"/>
    <n v="7"/>
    <n v="4701.55"/>
    <n v="2699.48"/>
    <x v="0"/>
    <n v="2002.07"/>
    <s v="May"/>
    <x v="6"/>
    <n v="0.42583190649892055"/>
    <n v="4.3538744633921759E-5"/>
  </r>
  <r>
    <d v="2023-04-25T00:00:00"/>
    <x v="0"/>
    <s v="Kolkata"/>
    <x v="1"/>
    <s v="Wallet"/>
    <n v="4"/>
    <n v="36012.800000000003"/>
    <n v="20885.88"/>
    <x v="1"/>
    <n v="15126.92"/>
    <s v="April"/>
    <x v="11"/>
    <n v="0.42004287364492621"/>
    <n v="3.3349684737001576E-4"/>
  </r>
  <r>
    <d v="2023-03-25T00:00:00"/>
    <x v="2"/>
    <s v="Pune"/>
    <x v="2"/>
    <s v="Headphones"/>
    <n v="4"/>
    <n v="77008"/>
    <n v="55283.24"/>
    <x v="3"/>
    <n v="21724.76"/>
    <s v="March"/>
    <x v="9"/>
    <n v="0.28211043008518594"/>
    <n v="7.1313325323968618E-4"/>
  </r>
  <r>
    <d v="2023-02-07T00:00:00"/>
    <x v="1"/>
    <s v="Chennai"/>
    <x v="3"/>
    <s v="Cupboard"/>
    <n v="7"/>
    <n v="37765"/>
    <n v="26515.62"/>
    <x v="3"/>
    <n v="11249.38"/>
    <s v="February"/>
    <x v="2"/>
    <n v="0.29787845889050707"/>
    <n v="3.4972311069754767E-4"/>
  </r>
  <r>
    <d v="2023-12-27T00:00:00"/>
    <x v="2"/>
    <s v="Pune"/>
    <x v="2"/>
    <s v="Smartphone"/>
    <n v="4"/>
    <n v="23871.599999999999"/>
    <n v="15168.46"/>
    <x v="0"/>
    <n v="8703.14"/>
    <s v="December"/>
    <x v="4"/>
    <n v="0.36458134352117161"/>
    <n v="2.2106315925665506E-4"/>
  </r>
  <r>
    <d v="2023-07-09T00:00:00"/>
    <x v="3"/>
    <s v="Chandigarh"/>
    <x v="0"/>
    <s v="T-Shirt"/>
    <n v="1"/>
    <n v="17442"/>
    <n v="13191.76"/>
    <x v="2"/>
    <n v="4250.24"/>
    <s v="July"/>
    <x v="5"/>
    <n v="0.24367847723884875"/>
    <n v="1.615217925800775E-4"/>
  </r>
  <r>
    <d v="2023-05-23T00:00:00"/>
    <x v="0"/>
    <s v="Patna"/>
    <x v="1"/>
    <s v="Bag"/>
    <n v="7"/>
    <n v="159623.1"/>
    <n v="119169.66"/>
    <x v="2"/>
    <n v="40453.440000000002"/>
    <s v="May"/>
    <x v="6"/>
    <n v="0.25343098837198375"/>
    <n v="1.4781911047579961E-3"/>
  </r>
  <r>
    <d v="2023-03-23T00:00:00"/>
    <x v="1"/>
    <s v="Bangalore"/>
    <x v="1"/>
    <s v="Bag"/>
    <n v="4"/>
    <n v="129928"/>
    <n v="75240.210000000006"/>
    <x v="3"/>
    <n v="54687.79"/>
    <s v="March"/>
    <x v="9"/>
    <n v="0.42090842620528296"/>
    <n v="1.2031993731420885E-3"/>
  </r>
  <r>
    <d v="2023-01-14T00:00:00"/>
    <x v="3"/>
    <s v="Jaipur"/>
    <x v="3"/>
    <s v="Cupboard"/>
    <n v="2"/>
    <n v="14632.2"/>
    <n v="10937.68"/>
    <x v="2"/>
    <n v="3694.52"/>
    <s v="January"/>
    <x v="10"/>
    <n v="0.25249244816227223"/>
    <n v="1.3550161526144994E-4"/>
  </r>
  <r>
    <d v="2023-10-03T00:00:00"/>
    <x v="3"/>
    <s v="Jaipur"/>
    <x v="2"/>
    <s v="Tablet"/>
    <n v="2"/>
    <n v="37996.199999999997"/>
    <n v="24185.53"/>
    <x v="2"/>
    <n v="13810.67"/>
    <s v="October"/>
    <x v="1"/>
    <n v="0.36347503171369772"/>
    <n v="3.518641403067962E-4"/>
  </r>
  <r>
    <d v="2023-11-17T00:00:00"/>
    <x v="1"/>
    <s v="Chennai"/>
    <x v="2"/>
    <s v="Smartphone"/>
    <n v="1"/>
    <n v="25911.4"/>
    <n v="18179.25"/>
    <x v="4"/>
    <n v="7732.15"/>
    <s v="November"/>
    <x v="0"/>
    <n v="0.29840726475605328"/>
    <n v="2.3995274488358101E-4"/>
  </r>
  <r>
    <d v="2023-01-25T00:00:00"/>
    <x v="1"/>
    <s v="Chennai"/>
    <x v="3"/>
    <s v="Chair"/>
    <n v="4"/>
    <n v="41896.800000000003"/>
    <n v="27218.92"/>
    <x v="2"/>
    <n v="14677.88"/>
    <s v="January"/>
    <x v="10"/>
    <n v="0.35033415439842658"/>
    <n v="3.8798568050504476E-4"/>
  </r>
  <r>
    <d v="2023-03-09T00:00:00"/>
    <x v="3"/>
    <s v="Delhi"/>
    <x v="3"/>
    <s v="Cupboard"/>
    <n v="5"/>
    <n v="171721.25"/>
    <n v="100249.42"/>
    <x v="4"/>
    <n v="71471.83"/>
    <s v="March"/>
    <x v="9"/>
    <n v="0.41620841916769186"/>
    <n v="1.5902261279722297E-3"/>
  </r>
  <r>
    <d v="2023-05-10T00:00:00"/>
    <x v="3"/>
    <s v="Delhi"/>
    <x v="0"/>
    <s v="Jeans"/>
    <n v="4"/>
    <n v="114438.39999999999"/>
    <n v="63447.16"/>
    <x v="1"/>
    <n v="50991.24"/>
    <s v="May"/>
    <x v="6"/>
    <n v="0.44557805771489289"/>
    <n v="1.0597577977293853E-3"/>
  </r>
  <r>
    <d v="2023-12-11T00:00:00"/>
    <x v="2"/>
    <s v="Ahmedabad"/>
    <x v="0"/>
    <s v="Jacket"/>
    <n v="3"/>
    <n v="38685.599999999999"/>
    <n v="23131.88"/>
    <x v="2"/>
    <n v="15553.72"/>
    <s v="December"/>
    <x v="4"/>
    <n v="0.40205451123932417"/>
    <n v="3.5824833499804181E-4"/>
  </r>
  <r>
    <d v="2023-04-09T00:00:00"/>
    <x v="1"/>
    <s v="Chennai"/>
    <x v="0"/>
    <s v="Jeans"/>
    <n v="5"/>
    <n v="135130"/>
    <n v="88859.37"/>
    <x v="3"/>
    <n v="46270.63"/>
    <s v="April"/>
    <x v="11"/>
    <n v="0.34241567379560423"/>
    <n v="1.2513725393501819E-3"/>
  </r>
  <r>
    <d v="2023-09-17T00:00:00"/>
    <x v="3"/>
    <s v="Delhi"/>
    <x v="1"/>
    <s v="Bag"/>
    <n v="6"/>
    <n v="48827.4"/>
    <n v="34399.53"/>
    <x v="4"/>
    <n v="14427.87"/>
    <s v="September"/>
    <x v="3"/>
    <n v="0.29548716499342581"/>
    <n v="4.5216656203557367E-4"/>
  </r>
  <r>
    <d v="2023-05-04T00:00:00"/>
    <x v="0"/>
    <s v="Kolkata"/>
    <x v="2"/>
    <s v="Tablet"/>
    <n v="4"/>
    <n v="135292.79999999999"/>
    <n v="95513.19"/>
    <x v="1"/>
    <n v="39779.61"/>
    <s v="May"/>
    <x v="6"/>
    <n v="0.29402606790605268"/>
    <n v="1.2528801501649985E-3"/>
  </r>
  <r>
    <d v="2023-06-04T00:00:00"/>
    <x v="1"/>
    <s v="Hyderabad"/>
    <x v="3"/>
    <s v="Sofa"/>
    <n v="5"/>
    <n v="131484"/>
    <n v="83960.3"/>
    <x v="1"/>
    <n v="47523.7"/>
    <s v="June"/>
    <x v="7"/>
    <n v="0.36144093577925829"/>
    <n v="1.2176087246645402E-3"/>
  </r>
  <r>
    <d v="2023-03-03T00:00:00"/>
    <x v="2"/>
    <s v="Pune"/>
    <x v="3"/>
    <s v="Sofa"/>
    <n v="5"/>
    <n v="157632"/>
    <n v="87132.32"/>
    <x v="1"/>
    <n v="70499.679999999993"/>
    <s v="March"/>
    <x v="9"/>
    <n v="0.44724218432805518"/>
    <n v="1.4597525059042984E-3"/>
  </r>
  <r>
    <d v="2023-03-06T00:00:00"/>
    <x v="0"/>
    <s v="Kolkata"/>
    <x v="3"/>
    <s v="Table"/>
    <n v="7"/>
    <n v="293717.2"/>
    <n v="211547.96"/>
    <x v="0"/>
    <n v="82169.240000000005"/>
    <s v="March"/>
    <x v="9"/>
    <n v="0.2797563098109338"/>
    <n v="2.7199706831556665E-3"/>
  </r>
  <r>
    <d v="2023-06-09T00:00:00"/>
    <x v="3"/>
    <s v="Delhi"/>
    <x v="3"/>
    <s v="Table"/>
    <n v="5"/>
    <n v="78622"/>
    <n v="44512.17"/>
    <x v="0"/>
    <n v="34109.83"/>
    <s v="June"/>
    <x v="7"/>
    <n v="0.4338458701126911"/>
    <n v="7.2807971426618804E-4"/>
  </r>
  <r>
    <d v="2023-07-02T00:00:00"/>
    <x v="2"/>
    <s v="Mumbai"/>
    <x v="0"/>
    <s v="T-Shirt"/>
    <n v="4"/>
    <n v="35628.800000000003"/>
    <n v="27116.7"/>
    <x v="1"/>
    <n v="8512.1"/>
    <s v="July"/>
    <x v="5"/>
    <n v="0.23891065654751212"/>
    <n v="3.2994081203285548E-4"/>
  </r>
  <r>
    <d v="2023-08-15T00:00:00"/>
    <x v="3"/>
    <s v="Chandigarh"/>
    <x v="3"/>
    <s v="Cupboard"/>
    <n v="2"/>
    <n v="64577.9"/>
    <n v="46039.37"/>
    <x v="4"/>
    <n v="18538.53"/>
    <s v="August"/>
    <x v="8"/>
    <n v="0.28707235757124339"/>
    <n v="5.9802420416563389E-4"/>
  </r>
  <r>
    <d v="2023-01-17T00:00:00"/>
    <x v="3"/>
    <s v="Delhi"/>
    <x v="1"/>
    <s v="Watch"/>
    <n v="6"/>
    <n v="263424"/>
    <n v="207797.72"/>
    <x v="3"/>
    <n v="55626.28"/>
    <s v="January"/>
    <x v="10"/>
    <n v="0.21116633260447035"/>
    <n v="2.439440241291958E-3"/>
  </r>
  <r>
    <d v="2023-08-30T00:00:00"/>
    <x v="2"/>
    <s v="Mumbai"/>
    <x v="2"/>
    <s v="Laptop"/>
    <n v="2"/>
    <n v="6609.6"/>
    <n v="4096.91"/>
    <x v="1"/>
    <n v="2512.69"/>
    <s v="August"/>
    <x v="8"/>
    <n v="0.38015764947954489"/>
    <n v="6.1208258240871477E-5"/>
  </r>
  <r>
    <d v="2023-03-20T00:00:00"/>
    <x v="1"/>
    <s v="Bangalore"/>
    <x v="1"/>
    <s v="Belt"/>
    <n v="7"/>
    <n v="175927.5"/>
    <n v="116557.44"/>
    <x v="2"/>
    <n v="59370.06"/>
    <s v="March"/>
    <x v="9"/>
    <n v="0.33746890054141621"/>
    <n v="1.6291781426517361E-3"/>
  </r>
  <r>
    <d v="2023-04-11T00:00:00"/>
    <x v="3"/>
    <s v="Jaipur"/>
    <x v="1"/>
    <s v="Watch"/>
    <n v="3"/>
    <n v="122869.2"/>
    <n v="83312.13"/>
    <x v="4"/>
    <n v="39557.07"/>
    <s v="April"/>
    <x v="11"/>
    <n v="0.32194455567383851"/>
    <n v="1.1378312943974348E-3"/>
  </r>
  <r>
    <d v="2023-06-01T00:00:00"/>
    <x v="2"/>
    <s v="Mumbai"/>
    <x v="1"/>
    <s v="Watch"/>
    <n v="7"/>
    <n v="205654.39999999999"/>
    <n v="154350.34"/>
    <x v="1"/>
    <n v="51304.06"/>
    <s v="June"/>
    <x v="7"/>
    <n v="0.24946735883112639"/>
    <n v="1.9044643584440022E-3"/>
  </r>
  <r>
    <d v="2023-07-30T00:00:00"/>
    <x v="3"/>
    <s v="Delhi"/>
    <x v="1"/>
    <s v="Watch"/>
    <n v="2"/>
    <n v="18091.400000000001"/>
    <n v="11531.93"/>
    <x v="4"/>
    <n v="6559.47"/>
    <s v="July"/>
    <x v="5"/>
    <n v="0.36257393015465911"/>
    <n v="1.6753556692370223E-4"/>
  </r>
  <r>
    <d v="2023-12-18T00:00:00"/>
    <x v="0"/>
    <s v="Bhubaneswar"/>
    <x v="1"/>
    <s v="Belt"/>
    <n v="3"/>
    <n v="66156"/>
    <n v="45475.9"/>
    <x v="1"/>
    <n v="20680.099999999999"/>
    <s v="December"/>
    <x v="4"/>
    <n v="0.31259598524699195"/>
    <n v="6.1263821293014594E-4"/>
  </r>
  <r>
    <d v="2023-02-18T00:00:00"/>
    <x v="2"/>
    <s v="Pune"/>
    <x v="3"/>
    <s v="Sofa"/>
    <n v="4"/>
    <n v="97552"/>
    <n v="77456.06"/>
    <x v="3"/>
    <n v="20095.939999999999"/>
    <s v="February"/>
    <x v="2"/>
    <n v="0.20600233721502376"/>
    <n v="9.033811437777617E-4"/>
  </r>
  <r>
    <d v="2023-09-12T00:00:00"/>
    <x v="2"/>
    <s v="Pune"/>
    <x v="1"/>
    <s v="Bag"/>
    <n v="1"/>
    <n v="12353.8"/>
    <n v="8271.66"/>
    <x v="0"/>
    <n v="4082.14"/>
    <s v="September"/>
    <x v="3"/>
    <n v="0.33043597921287376"/>
    <n v="1.1440247226096556E-4"/>
  </r>
  <r>
    <d v="2023-06-30T00:00:00"/>
    <x v="1"/>
    <s v="Chennai"/>
    <x v="2"/>
    <s v="Headphones"/>
    <n v="4"/>
    <n v="24616.400000000001"/>
    <n v="17243.060000000001"/>
    <x v="0"/>
    <n v="7373.34"/>
    <s v="June"/>
    <x v="7"/>
    <n v="0.29952958190474643"/>
    <n v="2.2796038612935557E-4"/>
  </r>
  <r>
    <d v="2023-09-30T00:00:00"/>
    <x v="2"/>
    <s v="Ahmedabad"/>
    <x v="1"/>
    <s v="Wallet"/>
    <n v="4"/>
    <n v="109515.6"/>
    <n v="61431.01"/>
    <x v="2"/>
    <n v="48084.59"/>
    <s v="September"/>
    <x v="3"/>
    <n v="0.4390661239129402"/>
    <n v="1.0141701655476858E-3"/>
  </r>
  <r>
    <d v="2023-04-24T00:00:00"/>
    <x v="2"/>
    <s v="Pune"/>
    <x v="0"/>
    <s v="T-Shirt"/>
    <n v="1"/>
    <n v="4574.7"/>
    <n v="3145.21"/>
    <x v="2"/>
    <n v="1429.49"/>
    <s v="April"/>
    <x v="11"/>
    <n v="0.31247732091721864"/>
    <n v="4.2364049106529095E-5"/>
  </r>
  <r>
    <d v="2023-05-02T00:00:00"/>
    <x v="1"/>
    <s v="Chennai"/>
    <x v="1"/>
    <s v="Watch"/>
    <n v="4"/>
    <n v="102366"/>
    <n v="78999.039999999994"/>
    <x v="2"/>
    <n v="23366.959999999999"/>
    <s v="May"/>
    <x v="6"/>
    <n v="0.22826876111208799"/>
    <n v="9.4796123261393255E-4"/>
  </r>
  <r>
    <d v="2023-05-29T00:00:00"/>
    <x v="2"/>
    <s v="Pune"/>
    <x v="0"/>
    <s v="Jacket"/>
    <n v="1"/>
    <n v="38143"/>
    <n v="26166.26"/>
    <x v="3"/>
    <n v="11976.74"/>
    <s v="May"/>
    <x v="6"/>
    <n v="0.31399575282489578"/>
    <n v="3.5322358298256484E-4"/>
  </r>
  <r>
    <d v="2023-09-13T00:00:00"/>
    <x v="3"/>
    <s v="Chandigarh"/>
    <x v="2"/>
    <s v="Smartphone"/>
    <n v="6"/>
    <n v="124496.1"/>
    <n v="70149.14"/>
    <x v="4"/>
    <n v="54346.96"/>
    <s v="September"/>
    <x v="3"/>
    <n v="0.43653544167247005"/>
    <n v="1.1528972159860443E-3"/>
  </r>
  <r>
    <d v="2023-09-15T00:00:00"/>
    <x v="1"/>
    <s v="Chennai"/>
    <x v="0"/>
    <s v="T-Shirt"/>
    <n v="6"/>
    <n v="114657.60000000001"/>
    <n v="83927.85"/>
    <x v="1"/>
    <n v="30729.75"/>
    <s v="September"/>
    <x v="3"/>
    <n v="0.26801319755515551"/>
    <n v="1.0617877012343477E-3"/>
  </r>
  <r>
    <d v="2023-02-13T00:00:00"/>
    <x v="3"/>
    <s v="Delhi"/>
    <x v="0"/>
    <s v="Shirt"/>
    <n v="3"/>
    <n v="132810.29999999999"/>
    <n v="78048.5"/>
    <x v="2"/>
    <n v="54761.8"/>
    <s v="February"/>
    <x v="2"/>
    <n v="0.41233097131773672"/>
    <n v="1.2298909373407788E-3"/>
  </r>
  <r>
    <d v="2023-01-19T00:00:00"/>
    <x v="3"/>
    <s v="Chandigarh"/>
    <x v="0"/>
    <s v="T-Shirt"/>
    <n v="5"/>
    <n v="8442"/>
    <n v="5271.08"/>
    <x v="2"/>
    <n v="3170.92"/>
    <s v="January"/>
    <x v="10"/>
    <n v="0.37561241411987684"/>
    <n v="7.8177214365383226E-5"/>
  </r>
  <r>
    <d v="2023-12-28T00:00:00"/>
    <x v="0"/>
    <s v="Kolkata"/>
    <x v="3"/>
    <s v="Sofa"/>
    <n v="4"/>
    <n v="31987.200000000001"/>
    <n v="18873.02"/>
    <x v="1"/>
    <n v="13114.18"/>
    <s v="December"/>
    <x v="4"/>
    <n v="0.40998211784713884"/>
    <n v="2.9621774358545204E-4"/>
  </r>
  <r>
    <d v="2023-08-12T00:00:00"/>
    <x v="1"/>
    <s v="Bangalore"/>
    <x v="1"/>
    <s v="Watch"/>
    <n v="3"/>
    <n v="44196.6"/>
    <n v="25403.96"/>
    <x v="4"/>
    <n v="18792.64"/>
    <s v="August"/>
    <x v="8"/>
    <n v="0.42520555879864064"/>
    <n v="4.0928299839150626E-4"/>
  </r>
  <r>
    <d v="2023-08-19T00:00:00"/>
    <x v="2"/>
    <s v="Pune"/>
    <x v="3"/>
    <s v="Sofa"/>
    <n v="1"/>
    <n v="2864.8"/>
    <n v="2100.67"/>
    <x v="1"/>
    <n v="764.13"/>
    <s v="August"/>
    <x v="8"/>
    <n v="0.2667306618263055"/>
    <n v="2.652950529660624E-5"/>
  </r>
  <r>
    <d v="2023-02-23T00:00:00"/>
    <x v="0"/>
    <s v="Bhubaneswar"/>
    <x v="3"/>
    <s v="Chair"/>
    <n v="5"/>
    <n v="94349.25"/>
    <n v="69841.81"/>
    <x v="0"/>
    <n v="24507.439999999999"/>
    <s v="February"/>
    <x v="2"/>
    <n v="0.25975235627204241"/>
    <n v="8.7372204956919365E-4"/>
  </r>
  <r>
    <d v="2023-03-16T00:00:00"/>
    <x v="2"/>
    <s v="Mumbai"/>
    <x v="3"/>
    <s v="Table"/>
    <n v="1"/>
    <n v="16298.4"/>
    <n v="10463.33"/>
    <x v="1"/>
    <n v="5835.07"/>
    <s v="March"/>
    <x v="9"/>
    <n v="0.35801489716782015"/>
    <n v="1.5093147484159699E-4"/>
  </r>
  <r>
    <d v="2023-05-12T00:00:00"/>
    <x v="2"/>
    <s v="Ahmedabad"/>
    <x v="0"/>
    <s v="Jacket"/>
    <n v="6"/>
    <n v="67969.8"/>
    <n v="54313.55"/>
    <x v="2"/>
    <n v="13656.25"/>
    <s v="May"/>
    <x v="6"/>
    <n v="0.20091643641735005"/>
    <n v="6.2943492359301403E-4"/>
  </r>
  <r>
    <d v="2023-08-18T00:00:00"/>
    <x v="0"/>
    <s v="Kolkata"/>
    <x v="1"/>
    <s v="Wallet"/>
    <n v="2"/>
    <n v="86650.2"/>
    <n v="50643.21"/>
    <x v="2"/>
    <n v="36006.99"/>
    <s v="August"/>
    <x v="8"/>
    <n v="0.4155442226330695"/>
    <n v="8.0242493013543345E-4"/>
  </r>
  <r>
    <d v="2023-01-20T00:00:00"/>
    <x v="3"/>
    <s v="Chandigarh"/>
    <x v="1"/>
    <s v="Belt"/>
    <n v="5"/>
    <n v="63907.25"/>
    <n v="38045.89"/>
    <x v="4"/>
    <n v="25861.360000000001"/>
    <s v="January"/>
    <x v="10"/>
    <n v="0.40467020564959377"/>
    <n v="5.918136440123356E-4"/>
  </r>
  <r>
    <d v="2023-12-02T00:00:00"/>
    <x v="3"/>
    <s v="Jaipur"/>
    <x v="0"/>
    <s v="Shirt"/>
    <n v="5"/>
    <n v="133636.5"/>
    <n v="75666.78"/>
    <x v="2"/>
    <n v="57969.72"/>
    <s v="December"/>
    <x v="4"/>
    <n v="0.4337865777687982"/>
    <n v="1.2375419696208879E-3"/>
  </r>
  <r>
    <d v="2023-06-08T00:00:00"/>
    <x v="1"/>
    <s v="Hyderabad"/>
    <x v="1"/>
    <s v="Wallet"/>
    <n v="6"/>
    <n v="251045.1"/>
    <n v="175691.97"/>
    <x v="0"/>
    <n v="75353.13"/>
    <s v="June"/>
    <x v="7"/>
    <n v="0.30015774058127404"/>
    <n v="2.3248053302628606E-3"/>
  </r>
  <r>
    <d v="2023-11-10T00:00:00"/>
    <x v="2"/>
    <s v="Ahmedabad"/>
    <x v="2"/>
    <s v="Tablet"/>
    <n v="6"/>
    <n v="63326.400000000001"/>
    <n v="46638.71"/>
    <x v="1"/>
    <n v="16687.689999999999"/>
    <s v="November"/>
    <x v="0"/>
    <n v="0.26351869046716692"/>
    <n v="5.8643467753944614E-4"/>
  </r>
  <r>
    <d v="2023-04-23T00:00:00"/>
    <x v="1"/>
    <s v="Bangalore"/>
    <x v="0"/>
    <s v="Shirt"/>
    <n v="3"/>
    <n v="42187.199999999997"/>
    <n v="24493.64"/>
    <x v="4"/>
    <n v="17693.560000000001"/>
    <s v="April"/>
    <x v="11"/>
    <n v="0.41940588614556079"/>
    <n v="3.9067493222877218E-4"/>
  </r>
  <r>
    <d v="2023-11-09T00:00:00"/>
    <x v="0"/>
    <s v="Kolkata"/>
    <x v="3"/>
    <s v="Sofa"/>
    <n v="4"/>
    <n v="66959.600000000006"/>
    <n v="49142.71"/>
    <x v="4"/>
    <n v="17816.89"/>
    <s v="November"/>
    <x v="0"/>
    <n v="0.26608417613008439"/>
    <n v="6.2007995771384914E-4"/>
  </r>
  <r>
    <d v="2023-02-16T00:00:00"/>
    <x v="2"/>
    <s v="Pune"/>
    <x v="2"/>
    <s v="Laptop"/>
    <n v="1"/>
    <n v="38890.050000000003"/>
    <n v="26213.51"/>
    <x v="4"/>
    <n v="12676.54"/>
    <s v="February"/>
    <x v="2"/>
    <n v="0.32595843924088552"/>
    <n v="3.6014164599981898E-4"/>
  </r>
  <r>
    <d v="2023-11-21T00:00:00"/>
    <x v="0"/>
    <s v="Bhubaneswar"/>
    <x v="3"/>
    <s v="Sofa"/>
    <n v="6"/>
    <n v="296988"/>
    <n v="233901.27"/>
    <x v="3"/>
    <n v="63086.73"/>
    <s v="November"/>
    <x v="0"/>
    <n v="0.21242181502282922"/>
    <n v="2.7502599549806247E-3"/>
  </r>
  <r>
    <d v="2023-04-28T00:00:00"/>
    <x v="3"/>
    <s v="Delhi"/>
    <x v="3"/>
    <s v="Table"/>
    <n v="3"/>
    <n v="141594"/>
    <n v="98613.5"/>
    <x v="3"/>
    <n v="42980.5"/>
    <s v="April"/>
    <x v="11"/>
    <n v="0.30354746670056643"/>
    <n v="1.3112324675257133E-3"/>
  </r>
  <r>
    <d v="2023-02-04T00:00:00"/>
    <x v="3"/>
    <s v="Chandigarh"/>
    <x v="2"/>
    <s v="Tablet"/>
    <n v="5"/>
    <n v="77976"/>
    <n v="43981.120000000003"/>
    <x v="1"/>
    <n v="33994.879999999997"/>
    <s v="February"/>
    <x v="2"/>
    <n v="0.43596593823740637"/>
    <n v="7.220974256521111E-4"/>
  </r>
  <r>
    <d v="2023-03-15T00:00:00"/>
    <x v="1"/>
    <s v="Chennai"/>
    <x v="0"/>
    <s v="T-Shirt"/>
    <n v="5"/>
    <n v="33996"/>
    <n v="22785.02"/>
    <x v="1"/>
    <n v="11210.98"/>
    <s v="March"/>
    <x v="9"/>
    <n v="0.32977350276503115"/>
    <n v="3.1482025344297179E-4"/>
  </r>
  <r>
    <d v="2023-10-07T00:00:00"/>
    <x v="2"/>
    <s v="Mumbai"/>
    <x v="1"/>
    <s v="Bag"/>
    <n v="2"/>
    <n v="38408.5"/>
    <n v="29856.75"/>
    <x v="0"/>
    <n v="8551.75"/>
    <s v="October"/>
    <x v="1"/>
    <n v="0.22265253784969474"/>
    <n v="3.5568224803989831E-4"/>
  </r>
  <r>
    <d v="2023-01-31T00:00:00"/>
    <x v="3"/>
    <s v="Chandigarh"/>
    <x v="2"/>
    <s v="Smartphone"/>
    <n v="6"/>
    <n v="241775.7"/>
    <n v="141157.97"/>
    <x v="4"/>
    <n v="100617.73"/>
    <s v="January"/>
    <x v="10"/>
    <n v="0.41616146701260709"/>
    <n v="2.2389659710069397E-3"/>
  </r>
  <r>
    <d v="2023-12-08T00:00:00"/>
    <x v="2"/>
    <s v="Mumbai"/>
    <x v="1"/>
    <s v="Watch"/>
    <n v="6"/>
    <n v="9848.1"/>
    <n v="5526.25"/>
    <x v="4"/>
    <n v="4321.8500000000004"/>
    <s v="December"/>
    <x v="4"/>
    <n v="0.43885114895258986"/>
    <n v="9.1198415635125631E-5"/>
  </r>
  <r>
    <d v="2023-07-01T00:00:00"/>
    <x v="2"/>
    <s v="Ahmedabad"/>
    <x v="0"/>
    <s v="Jacket"/>
    <n v="4"/>
    <n v="34051.800000000003"/>
    <n v="21043.58"/>
    <x v="0"/>
    <n v="13008.22"/>
    <s v="July"/>
    <x v="5"/>
    <n v="0.38201269830082396"/>
    <n v="3.1533698982790296E-4"/>
  </r>
  <r>
    <d v="2023-04-17T00:00:00"/>
    <x v="0"/>
    <s v="Patna"/>
    <x v="2"/>
    <s v="Laptop"/>
    <n v="6"/>
    <n v="203040"/>
    <n v="154974.82999999999"/>
    <x v="1"/>
    <n v="48065.17"/>
    <s v="April"/>
    <x v="11"/>
    <n v="0.23672759062253743"/>
    <n v="1.8802536845235027E-3"/>
  </r>
  <r>
    <d v="2023-01-07T00:00:00"/>
    <x v="2"/>
    <s v="Pune"/>
    <x v="3"/>
    <s v="Sofa"/>
    <n v="1"/>
    <n v="13933.2"/>
    <n v="8761.16"/>
    <x v="4"/>
    <n v="5172.04"/>
    <s v="January"/>
    <x v="10"/>
    <n v="0.37120259524014582"/>
    <n v="1.2902851968677536E-4"/>
  </r>
  <r>
    <d v="2023-05-22T00:00:00"/>
    <x v="1"/>
    <s v="Hyderabad"/>
    <x v="0"/>
    <s v="Jeans"/>
    <n v="3"/>
    <n v="4010.4"/>
    <n v="2258.11"/>
    <x v="1"/>
    <n v="1752.29"/>
    <s v="May"/>
    <x v="6"/>
    <n v="0.43693646519050466"/>
    <n v="3.7138344052467765E-5"/>
  </r>
  <r>
    <d v="2023-11-01T00:00:00"/>
    <x v="3"/>
    <s v="Delhi"/>
    <x v="3"/>
    <s v="Chair"/>
    <n v="2"/>
    <n v="51710.400000000001"/>
    <n v="37815.24"/>
    <x v="2"/>
    <n v="13895.16"/>
    <s v="November"/>
    <x v="0"/>
    <n v="0.26871112967604194"/>
    <n v="4.788646085903474E-4"/>
  </r>
  <r>
    <d v="2023-06-27T00:00:00"/>
    <x v="0"/>
    <s v="Bhubaneswar"/>
    <x v="2"/>
    <s v="Laptop"/>
    <n v="4"/>
    <n v="54003.199999999997"/>
    <n v="31242.14"/>
    <x v="1"/>
    <n v="22761.06"/>
    <s v="June"/>
    <x v="7"/>
    <n v="0.42147613474757056"/>
    <n v="5.0009710291597524E-4"/>
  </r>
  <r>
    <d v="2023-03-02T00:00:00"/>
    <x v="3"/>
    <s v="Jaipur"/>
    <x v="3"/>
    <s v="Chair"/>
    <n v="7"/>
    <n v="237055"/>
    <n v="161398.35999999999"/>
    <x v="3"/>
    <n v="75656.639999999999"/>
    <s v="March"/>
    <x v="9"/>
    <n v="0.31915226424247539"/>
    <n v="2.1952498876315943E-3"/>
  </r>
  <r>
    <d v="2023-07-17T00:00:00"/>
    <x v="3"/>
    <s v="Chandigarh"/>
    <x v="1"/>
    <s v="Bag"/>
    <n v="3"/>
    <n v="141780"/>
    <n v="97244.71"/>
    <x v="3"/>
    <n v="44535.29"/>
    <s v="July"/>
    <x v="5"/>
    <n v="0.31411546057271827"/>
    <n v="1.3129549221421503E-3"/>
  </r>
  <r>
    <d v="2023-04-08T00:00:00"/>
    <x v="1"/>
    <s v="Bangalore"/>
    <x v="3"/>
    <s v="Chair"/>
    <n v="5"/>
    <n v="92105"/>
    <n v="66062.83"/>
    <x v="3"/>
    <n v="26042.17"/>
    <s v="April"/>
    <x v="11"/>
    <n v="0.28274436784105095"/>
    <n v="8.5293915294049061E-4"/>
  </r>
  <r>
    <d v="2023-04-09T00:00:00"/>
    <x v="2"/>
    <s v="Ahmedabad"/>
    <x v="2"/>
    <s v="Tablet"/>
    <n v="6"/>
    <n v="46078.5"/>
    <n v="29443.85"/>
    <x v="4"/>
    <n v="16634.650000000001"/>
    <s v="April"/>
    <x v="11"/>
    <n v="0.36100676020269762"/>
    <n v="4.2671034969619888E-4"/>
  </r>
  <r>
    <d v="2023-03-09T00:00:00"/>
    <x v="2"/>
    <s v="Ahmedabad"/>
    <x v="0"/>
    <s v="T-Shirt"/>
    <n v="7"/>
    <n v="114287.6"/>
    <n v="78425.52"/>
    <x v="4"/>
    <n v="35862.080000000002"/>
    <s v="March"/>
    <x v="9"/>
    <n v="0.31378802249762877"/>
    <n v="1.0583613130188548E-3"/>
  </r>
  <r>
    <d v="2023-06-17T00:00:00"/>
    <x v="1"/>
    <s v="Chennai"/>
    <x v="0"/>
    <s v="Shirt"/>
    <n v="5"/>
    <n v="133016.5"/>
    <n v="102109.4"/>
    <x v="4"/>
    <n v="30907.1"/>
    <s v="June"/>
    <x v="7"/>
    <n v="0.23235538448237625"/>
    <n v="1.2318004542327644E-3"/>
  </r>
  <r>
    <d v="2023-04-07T00:00:00"/>
    <x v="1"/>
    <s v="Chennai"/>
    <x v="2"/>
    <s v="Tablet"/>
    <n v="2"/>
    <n v="30204"/>
    <n v="23477.72"/>
    <x v="2"/>
    <n v="6726.28"/>
    <s v="April"/>
    <x v="11"/>
    <n v="0.22269500728380345"/>
    <n v="2.7970440448851395E-4"/>
  </r>
  <r>
    <d v="2023-07-16T00:00:00"/>
    <x v="1"/>
    <s v="Hyderabad"/>
    <x v="3"/>
    <s v="Sofa"/>
    <n v="4"/>
    <n v="107560"/>
    <n v="69843.59"/>
    <x v="3"/>
    <n v="37716.410000000003"/>
    <s v="July"/>
    <x v="5"/>
    <n v="0.35065461137969511"/>
    <n v="9.9606031475250162E-4"/>
  </r>
  <r>
    <d v="2023-06-13T00:00:00"/>
    <x v="0"/>
    <s v="Bhubaneswar"/>
    <x v="1"/>
    <s v="Wallet"/>
    <n v="2"/>
    <n v="84420.3"/>
    <n v="63164.42"/>
    <x v="4"/>
    <n v="21255.88"/>
    <s v="June"/>
    <x v="7"/>
    <n v="0.25178635944198258"/>
    <n v="7.8177492180643939E-4"/>
  </r>
  <r>
    <d v="2023-09-25T00:00:00"/>
    <x v="3"/>
    <s v="Delhi"/>
    <x v="1"/>
    <s v="Belt"/>
    <n v="1"/>
    <n v="20461.099999999999"/>
    <n v="12061.59"/>
    <x v="0"/>
    <n v="8399.51"/>
    <s v="September"/>
    <x v="3"/>
    <n v="0.41051116508887603"/>
    <n v="1.8948019436763118E-4"/>
  </r>
  <r>
    <d v="2023-02-09T00:00:00"/>
    <x v="1"/>
    <s v="Hyderabad"/>
    <x v="1"/>
    <s v="Belt"/>
    <n v="5"/>
    <n v="3411"/>
    <n v="2112.1799999999998"/>
    <x v="2"/>
    <n v="1298.82"/>
    <s v="February"/>
    <x v="2"/>
    <n v="0.38077396657871593"/>
    <n v="3.1587595143369124E-5"/>
  </r>
  <r>
    <d v="2023-06-25T00:00:00"/>
    <x v="1"/>
    <s v="Bangalore"/>
    <x v="1"/>
    <s v="Watch"/>
    <n v="7"/>
    <n v="134685.6"/>
    <n v="98745.93"/>
    <x v="1"/>
    <n v="35939.67"/>
    <s v="June"/>
    <x v="7"/>
    <n v="0.26684122133323829"/>
    <n v="1.247257169288114E-3"/>
  </r>
  <r>
    <d v="2023-10-29T00:00:00"/>
    <x v="0"/>
    <s v="Kolkata"/>
    <x v="1"/>
    <s v="Bag"/>
    <n v="6"/>
    <n v="38436"/>
    <n v="28861.63"/>
    <x v="3"/>
    <n v="9574.3700000000008"/>
    <s v="October"/>
    <x v="1"/>
    <n v="0.24909902175044232"/>
    <n v="3.5593691202888764E-4"/>
  </r>
  <r>
    <d v="2023-08-11T00:00:00"/>
    <x v="0"/>
    <s v="Kolkata"/>
    <x v="0"/>
    <s v="T-Shirt"/>
    <n v="7"/>
    <n v="10608.85"/>
    <n v="8173.93"/>
    <x v="4"/>
    <n v="2434.92"/>
    <s v="August"/>
    <x v="8"/>
    <n v="0.22951780824500298"/>
    <n v="9.8243347621439922E-5"/>
  </r>
  <r>
    <d v="2023-10-08T00:00:00"/>
    <x v="0"/>
    <s v="Bhubaneswar"/>
    <x v="1"/>
    <s v="Belt"/>
    <n v="5"/>
    <n v="46134"/>
    <n v="31456.46"/>
    <x v="2"/>
    <n v="14677.54"/>
    <s v="October"/>
    <x v="1"/>
    <n v="0.31815017124030004"/>
    <n v="4.2722430792852282E-4"/>
  </r>
  <r>
    <d v="2023-09-22T00:00:00"/>
    <x v="2"/>
    <s v="Pune"/>
    <x v="3"/>
    <s v="Table"/>
    <n v="6"/>
    <n v="127828.8"/>
    <n v="76295"/>
    <x v="2"/>
    <n v="51533.8"/>
    <s v="September"/>
    <x v="3"/>
    <n v="0.40314702164144545"/>
    <n v="1.1837597132989457E-3"/>
  </r>
  <r>
    <d v="2023-12-30T00:00:00"/>
    <x v="2"/>
    <s v="Pune"/>
    <x v="3"/>
    <s v="Table"/>
    <n v="3"/>
    <n v="50397"/>
    <n v="33654.71"/>
    <x v="3"/>
    <n v="16742.29"/>
    <s v="December"/>
    <x v="4"/>
    <n v="0.33220806794055202"/>
    <n v="4.6670185647621631E-4"/>
  </r>
  <r>
    <d v="2023-10-13T00:00:00"/>
    <x v="2"/>
    <s v="Mumbai"/>
    <x v="2"/>
    <s v="Headphones"/>
    <n v="2"/>
    <n v="83766.600000000006"/>
    <n v="64496.55"/>
    <x v="2"/>
    <n v="19270.05"/>
    <s v="October"/>
    <x v="1"/>
    <n v="0.23004455236335244"/>
    <n v="7.7572132727544551E-4"/>
  </r>
  <r>
    <d v="2023-06-29T00:00:00"/>
    <x v="1"/>
    <s v="Bangalore"/>
    <x v="1"/>
    <s v="Wallet"/>
    <n v="2"/>
    <n v="50530"/>
    <n v="30821.71"/>
    <x v="3"/>
    <n v="19708.29"/>
    <s v="June"/>
    <x v="7"/>
    <n v="0.39003146645557096"/>
    <n v="4.6793350413205567E-4"/>
  </r>
  <r>
    <d v="2023-06-25T00:00:00"/>
    <x v="1"/>
    <s v="Bangalore"/>
    <x v="0"/>
    <s v="Jacket"/>
    <n v="2"/>
    <n v="10679.4"/>
    <n v="7612.14"/>
    <x v="2"/>
    <n v="3067.26"/>
    <s v="June"/>
    <x v="7"/>
    <n v="0.28721276476206531"/>
    <n v="9.8896676509556216E-5"/>
  </r>
  <r>
    <d v="2023-07-31T00:00:00"/>
    <x v="2"/>
    <s v="Pune"/>
    <x v="2"/>
    <s v="Laptop"/>
    <n v="4"/>
    <n v="66808.800000000003"/>
    <n v="47336.41"/>
    <x v="2"/>
    <n v="19472.39"/>
    <s v="July"/>
    <x v="5"/>
    <n v="0.29146444779729613"/>
    <n v="6.1868347300331845E-4"/>
  </r>
  <r>
    <d v="2023-01-01T00:00:00"/>
    <x v="3"/>
    <s v="Chandigarh"/>
    <x v="3"/>
    <s v="Sofa"/>
    <n v="4"/>
    <n v="9832"/>
    <n v="7018.28"/>
    <x v="3"/>
    <n v="2813.72"/>
    <s v="January"/>
    <x v="10"/>
    <n v="0.28617982099267697"/>
    <n v="9.1049321445208222E-5"/>
  </r>
  <r>
    <d v="2023-10-30T00:00:00"/>
    <x v="2"/>
    <s v="Ahmedabad"/>
    <x v="0"/>
    <s v="Shirt"/>
    <n v="7"/>
    <n v="61249.3"/>
    <n v="46953.51"/>
    <x v="4"/>
    <n v="14295.79"/>
    <s v="October"/>
    <x v="1"/>
    <n v="0.23340332052774482"/>
    <n v="5.6719967493836377E-4"/>
  </r>
  <r>
    <d v="2023-05-22T00:00:00"/>
    <x v="1"/>
    <s v="Hyderabad"/>
    <x v="0"/>
    <s v="T-Shirt"/>
    <n v="3"/>
    <n v="24067.200000000001"/>
    <n v="15693.66"/>
    <x v="1"/>
    <n v="8373.5400000000009"/>
    <s v="May"/>
    <x v="6"/>
    <n v="0.3479233147187874"/>
    <n v="2.2287451475652109E-4"/>
  </r>
  <r>
    <d v="2023-05-14T00:00:00"/>
    <x v="2"/>
    <s v="Mumbai"/>
    <x v="0"/>
    <s v="T-Shirt"/>
    <n v="3"/>
    <n v="85545.600000000006"/>
    <n v="60967.68"/>
    <x v="0"/>
    <n v="24577.919999999998"/>
    <s v="May"/>
    <x v="6"/>
    <n v="0.28730782179328918"/>
    <n v="7.9219577223588341E-4"/>
  </r>
  <r>
    <d v="2023-07-09T00:00:00"/>
    <x v="0"/>
    <s v="Bhubaneswar"/>
    <x v="0"/>
    <s v="Jacket"/>
    <n v="3"/>
    <n v="46565.55"/>
    <n v="30053.54"/>
    <x v="4"/>
    <n v="16512.009999999998"/>
    <s v="July"/>
    <x v="5"/>
    <n v="0.3545971216918945"/>
    <n v="4.3122068045391745E-4"/>
  </r>
  <r>
    <d v="2023-12-10T00:00:00"/>
    <x v="0"/>
    <s v="Bhubaneswar"/>
    <x v="3"/>
    <s v="Sofa"/>
    <n v="6"/>
    <n v="114801"/>
    <n v="63657.16"/>
    <x v="4"/>
    <n v="51143.839999999997"/>
    <s v="December"/>
    <x v="4"/>
    <n v="0.44549995209100962"/>
    <n v="1.0631156581805685E-3"/>
  </r>
  <r>
    <d v="2023-10-02T00:00:00"/>
    <x v="1"/>
    <s v="Chennai"/>
    <x v="3"/>
    <s v="Sofa"/>
    <n v="6"/>
    <n v="113106"/>
    <n v="70471.210000000006"/>
    <x v="3"/>
    <n v="42634.79"/>
    <s v="October"/>
    <x v="1"/>
    <n v="0.37694543171891853"/>
    <n v="1.0474190959501345E-3"/>
  </r>
  <r>
    <d v="2023-05-01T00:00:00"/>
    <x v="3"/>
    <s v="Delhi"/>
    <x v="0"/>
    <s v="Jeans"/>
    <n v="7"/>
    <n v="306810"/>
    <n v="216932.93"/>
    <x v="2"/>
    <n v="89877.07"/>
    <s v="May"/>
    <x v="6"/>
    <n v="0.29294048433884168"/>
    <n v="2.8412166713389277E-3"/>
  </r>
  <r>
    <d v="2023-10-13T00:00:00"/>
    <x v="2"/>
    <s v="Ahmedabad"/>
    <x v="0"/>
    <s v="Shirt"/>
    <n v="6"/>
    <n v="166694.39999999999"/>
    <n v="94529.93"/>
    <x v="1"/>
    <n v="72164.47"/>
    <s v="October"/>
    <x v="1"/>
    <n v="0.43291478298011216"/>
    <n v="1.5436749398612813E-3"/>
  </r>
  <r>
    <d v="2023-11-30T00:00:00"/>
    <x v="3"/>
    <s v="Delhi"/>
    <x v="1"/>
    <s v="Wallet"/>
    <n v="1"/>
    <n v="42509.7"/>
    <n v="24169.32"/>
    <x v="2"/>
    <n v="18340.38"/>
    <s v="November"/>
    <x v="0"/>
    <n v="0.43143988313255566"/>
    <n v="3.9366144628146541E-4"/>
  </r>
  <r>
    <d v="2023-03-27T00:00:00"/>
    <x v="1"/>
    <s v="Bangalore"/>
    <x v="1"/>
    <s v="Belt"/>
    <n v="4"/>
    <n v="61396"/>
    <n v="38839.230000000003"/>
    <x v="3"/>
    <n v="22556.77"/>
    <s v="March"/>
    <x v="9"/>
    <n v="0.36739803896019285"/>
    <n v="5.6855819156326323E-4"/>
  </r>
  <r>
    <d v="2023-09-25T00:00:00"/>
    <x v="3"/>
    <s v="Jaipur"/>
    <x v="0"/>
    <s v="Jacket"/>
    <n v="5"/>
    <n v="48885"/>
    <n v="30373.35"/>
    <x v="3"/>
    <n v="18511.650000000001"/>
    <s v="September"/>
    <x v="3"/>
    <n v="0.37867750843817127"/>
    <n v="4.5269996733614769E-4"/>
  </r>
  <r>
    <d v="2023-10-03T00:00:00"/>
    <x v="0"/>
    <s v="Bhubaneswar"/>
    <x v="1"/>
    <s v="Bag"/>
    <n v="2"/>
    <n v="3187.2"/>
    <n v="1803.67"/>
    <x v="1"/>
    <n v="1383.53"/>
    <s v="October"/>
    <x v="1"/>
    <n v="0.43408948293172694"/>
    <n v="2.9515093298430394E-5"/>
  </r>
  <r>
    <d v="2023-11-20T00:00:00"/>
    <x v="3"/>
    <s v="Jaipur"/>
    <x v="1"/>
    <s v="Watch"/>
    <n v="5"/>
    <n v="12720"/>
    <n v="9888.61"/>
    <x v="3"/>
    <n v="2831.39"/>
    <s v="November"/>
    <x v="0"/>
    <n v="0.22259355345911949"/>
    <n v="1.1779367054343457E-4"/>
  </r>
  <r>
    <d v="2023-11-28T00:00:00"/>
    <x v="0"/>
    <s v="Kolkata"/>
    <x v="3"/>
    <s v="Cupboard"/>
    <n v="1"/>
    <n v="37269.599999999999"/>
    <n v="26968.75"/>
    <x v="1"/>
    <n v="10300.85"/>
    <s v="November"/>
    <x v="0"/>
    <n v="0.27638745787451435"/>
    <n v="3.4513545469226327E-4"/>
  </r>
  <r>
    <d v="2023-08-20T00:00:00"/>
    <x v="1"/>
    <s v="Chennai"/>
    <x v="0"/>
    <s v="Jacket"/>
    <n v="1"/>
    <n v="43903.3"/>
    <n v="25955.9"/>
    <x v="0"/>
    <n v="17947.400000000001"/>
    <s v="August"/>
    <x v="8"/>
    <n v="0.4087938719868438"/>
    <n v="4.0656689119257636E-4"/>
  </r>
  <r>
    <d v="2023-12-14T00:00:00"/>
    <x v="3"/>
    <s v="Jaipur"/>
    <x v="3"/>
    <s v="Cupboard"/>
    <n v="1"/>
    <n v="11021.1"/>
    <n v="7925.35"/>
    <x v="4"/>
    <n v="3095.75"/>
    <s v="December"/>
    <x v="4"/>
    <n v="0.2808930143089165"/>
    <n v="1.0206099232910744E-4"/>
  </r>
  <r>
    <d v="2023-06-11T00:00:00"/>
    <x v="2"/>
    <s v="Pune"/>
    <x v="1"/>
    <s v="Watch"/>
    <n v="3"/>
    <n v="29562.15"/>
    <n v="23284.12"/>
    <x v="4"/>
    <n v="6278.03"/>
    <s v="June"/>
    <x v="7"/>
    <n v="0.21236716544635623"/>
    <n v="2.7376054698550269E-4"/>
  </r>
  <r>
    <d v="2023-03-02T00:00:00"/>
    <x v="0"/>
    <s v="Bhubaneswar"/>
    <x v="2"/>
    <s v="Laptop"/>
    <n v="7"/>
    <n v="146223"/>
    <n v="80529.429999999993"/>
    <x v="3"/>
    <n v="65693.570000000007"/>
    <s v="March"/>
    <x v="9"/>
    <n v="0.44926974552566973"/>
    <n v="1.3540993622541378E-3"/>
  </r>
  <r>
    <d v="2023-04-03T00:00:00"/>
    <x v="2"/>
    <s v="Pune"/>
    <x v="3"/>
    <s v="Sofa"/>
    <n v="3"/>
    <n v="57954.75"/>
    <n v="45951.35"/>
    <x v="0"/>
    <n v="12003.4"/>
    <s v="April"/>
    <x v="11"/>
    <n v="0.20711675919575184"/>
    <n v="5.3669046603200589E-4"/>
  </r>
  <r>
    <d v="2023-06-26T00:00:00"/>
    <x v="3"/>
    <s v="Delhi"/>
    <x v="0"/>
    <s v="Shirt"/>
    <n v="6"/>
    <n v="28368"/>
    <n v="18966.05"/>
    <x v="1"/>
    <n v="9401.9500000000007"/>
    <s v="June"/>
    <x v="7"/>
    <n v="0.33142801748448958"/>
    <n v="2.627021105327163E-4"/>
  </r>
  <r>
    <d v="2023-12-19T00:00:00"/>
    <x v="3"/>
    <s v="Delhi"/>
    <x v="3"/>
    <s v="Chair"/>
    <n v="6"/>
    <n v="97432.2"/>
    <n v="74144.070000000007"/>
    <x v="2"/>
    <n v="23288.13"/>
    <s v="December"/>
    <x v="4"/>
    <n v="0.23901882539858488"/>
    <n v="9.0227173483663713E-4"/>
  </r>
  <r>
    <d v="2023-08-21T00:00:00"/>
    <x v="1"/>
    <s v="Hyderabad"/>
    <x v="2"/>
    <s v="Laptop"/>
    <n v="1"/>
    <n v="16707.650000000001"/>
    <n v="10415.08"/>
    <x v="0"/>
    <n v="6292.57"/>
    <s v="August"/>
    <x v="8"/>
    <n v="0.3766280715720044"/>
    <n v="1.5472133802319298E-4"/>
  </r>
  <r>
    <d v="2023-07-02T00:00:00"/>
    <x v="3"/>
    <s v="Delhi"/>
    <x v="2"/>
    <s v="Laptop"/>
    <n v="1"/>
    <n v="27298.400000000001"/>
    <n v="17370.13"/>
    <x v="1"/>
    <n v="9928.27"/>
    <s v="July"/>
    <x v="5"/>
    <n v="0.36369420918442108"/>
    <n v="2.5279707043733443E-4"/>
  </r>
  <r>
    <d v="2023-05-07T00:00:00"/>
    <x v="3"/>
    <s v="Jaipur"/>
    <x v="2"/>
    <s v="Headphones"/>
    <n v="3"/>
    <n v="93919.5"/>
    <n v="62235.69"/>
    <x v="2"/>
    <n v="31683.81"/>
    <s v="May"/>
    <x v="6"/>
    <n v="0.33735070991647104"/>
    <n v="8.6974234595944204E-4"/>
  </r>
  <r>
    <d v="2023-04-19T00:00:00"/>
    <x v="1"/>
    <s v="Bangalore"/>
    <x v="2"/>
    <s v="Headphones"/>
    <n v="4"/>
    <n v="29614"/>
    <n v="22819.5"/>
    <x v="4"/>
    <n v="6794.5"/>
    <s v="April"/>
    <x v="11"/>
    <n v="0.22943540217464711"/>
    <n v="2.742407043611062E-4"/>
  </r>
  <r>
    <d v="2023-06-02T00:00:00"/>
    <x v="2"/>
    <s v="Mumbai"/>
    <x v="1"/>
    <s v="Watch"/>
    <n v="5"/>
    <n v="162711.25"/>
    <n v="118835.9"/>
    <x v="0"/>
    <n v="43875.35"/>
    <s v="June"/>
    <x v="7"/>
    <n v="0.26965160675736927"/>
    <n v="1.5067889446706304E-3"/>
  </r>
  <r>
    <d v="2023-12-04T00:00:00"/>
    <x v="0"/>
    <s v="Patna"/>
    <x v="0"/>
    <s v="Jeans"/>
    <n v="5"/>
    <n v="6130"/>
    <n v="4296.82"/>
    <x v="3"/>
    <n v="1833.18"/>
    <s v="December"/>
    <x v="4"/>
    <n v="0.29905057096247961"/>
    <n v="5.6766918272897315E-5"/>
  </r>
  <r>
    <d v="2023-08-27T00:00:00"/>
    <x v="1"/>
    <s v="Chennai"/>
    <x v="1"/>
    <s v="Bag"/>
    <n v="1"/>
    <n v="24220.25"/>
    <n v="13879.93"/>
    <x v="0"/>
    <n v="10340.32"/>
    <s v="August"/>
    <x v="8"/>
    <n v="0.42692870635109048"/>
    <n v="2.2429183561160543E-4"/>
  </r>
  <r>
    <d v="2023-10-12T00:00:00"/>
    <x v="2"/>
    <s v="Mumbai"/>
    <x v="2"/>
    <s v="Headphones"/>
    <n v="2"/>
    <n v="49612"/>
    <n v="38966.82"/>
    <x v="3"/>
    <n v="10645.18"/>
    <s v="October"/>
    <x v="1"/>
    <n v="0.21456865274530357"/>
    <n v="4.594323571541569E-4"/>
  </r>
  <r>
    <d v="2023-07-20T00:00:00"/>
    <x v="3"/>
    <s v="Chandigarh"/>
    <x v="3"/>
    <s v="Sofa"/>
    <n v="3"/>
    <n v="27362.85"/>
    <n v="15999.55"/>
    <x v="0"/>
    <n v="11363.3"/>
    <s v="July"/>
    <x v="5"/>
    <n v="0.41528203385246787"/>
    <n v="2.5339391022243852E-4"/>
  </r>
  <r>
    <d v="2023-12-16T00:00:00"/>
    <x v="3"/>
    <s v="Jaipur"/>
    <x v="1"/>
    <s v="Belt"/>
    <n v="4"/>
    <n v="39286.400000000001"/>
    <n v="22260.1"/>
    <x v="1"/>
    <n v="17026.3"/>
    <s v="December"/>
    <x v="4"/>
    <n v="0.43338916266188804"/>
    <n v="3.6381204861930724E-4"/>
  </r>
  <r>
    <d v="2023-11-07T00:00:00"/>
    <x v="2"/>
    <s v="Pune"/>
    <x v="2"/>
    <s v="Laptop"/>
    <n v="6"/>
    <n v="158970.6"/>
    <n v="105272.44"/>
    <x v="2"/>
    <n v="53698.16"/>
    <s v="November"/>
    <x v="0"/>
    <n v="0.33778673540893728"/>
    <n v="1.4721486228374307E-3"/>
  </r>
  <r>
    <d v="2023-10-06T00:00:00"/>
    <x v="3"/>
    <s v="Jaipur"/>
    <x v="3"/>
    <s v="Chair"/>
    <n v="5"/>
    <n v="189685"/>
    <n v="114572.18"/>
    <x v="3"/>
    <n v="75112.820000000007"/>
    <s v="October"/>
    <x v="1"/>
    <n v="0.39598713656852152"/>
    <n v="1.7565795909615868E-3"/>
  </r>
  <r>
    <d v="2023-04-09T00:00:00"/>
    <x v="2"/>
    <s v="Mumbai"/>
    <x v="3"/>
    <s v="Cupboard"/>
    <n v="5"/>
    <n v="64120.5"/>
    <n v="42158.12"/>
    <x v="2"/>
    <n v="21962.38"/>
    <s v="April"/>
    <x v="11"/>
    <n v="0.34251729166179307"/>
    <n v="5.9378844749058933E-4"/>
  </r>
  <r>
    <d v="2023-07-14T00:00:00"/>
    <x v="3"/>
    <s v="Jaipur"/>
    <x v="2"/>
    <s v="Laptop"/>
    <n v="6"/>
    <n v="186287.7"/>
    <n v="139640.34"/>
    <x v="4"/>
    <n v="46647.360000000001"/>
    <s v="July"/>
    <x v="5"/>
    <n v="0.25040493816822046"/>
    <n v="1.7251188647872779E-3"/>
  </r>
  <r>
    <d v="2023-11-09T00:00:00"/>
    <x v="2"/>
    <s v="Ahmedabad"/>
    <x v="2"/>
    <s v="Tablet"/>
    <n v="7"/>
    <n v="108630.9"/>
    <n v="75558.19"/>
    <x v="2"/>
    <n v="33072.71"/>
    <s v="November"/>
    <x v="0"/>
    <n v="0.30445029913219906"/>
    <n v="1.0059773935091811E-3"/>
  </r>
  <r>
    <d v="2023-07-15T00:00:00"/>
    <x v="1"/>
    <s v="Bangalore"/>
    <x v="1"/>
    <s v="Belt"/>
    <n v="2"/>
    <n v="39893.9"/>
    <n v="26235.52"/>
    <x v="4"/>
    <n v="13658.38"/>
    <s v="July"/>
    <x v="5"/>
    <n v="0.3423676301389435"/>
    <n v="3.694378076487991E-4"/>
  </r>
  <r>
    <d v="2023-05-06T00:00:00"/>
    <x v="3"/>
    <s v="Delhi"/>
    <x v="2"/>
    <s v="Tablet"/>
    <n v="4"/>
    <n v="20499.2"/>
    <n v="13925.31"/>
    <x v="1"/>
    <n v="6573.89"/>
    <s v="May"/>
    <x v="6"/>
    <n v="0.32069007571027164"/>
    <n v="1.8983301974874009E-4"/>
  </r>
  <r>
    <d v="2023-07-23T00:00:00"/>
    <x v="0"/>
    <s v="Kolkata"/>
    <x v="2"/>
    <s v="Smartphone"/>
    <n v="5"/>
    <n v="67464.25"/>
    <n v="51301.9"/>
    <x v="0"/>
    <n v="16162.35"/>
    <s v="July"/>
    <x v="5"/>
    <n v="0.23956910511863691"/>
    <n v="6.247532734245209E-4"/>
  </r>
  <r>
    <d v="2023-12-10T00:00:00"/>
    <x v="1"/>
    <s v="Bangalore"/>
    <x v="0"/>
    <s v="Shirt"/>
    <n v="1"/>
    <n v="17844.8"/>
    <n v="11980.95"/>
    <x v="0"/>
    <n v="5863.85"/>
    <s v="December"/>
    <x v="4"/>
    <n v="0.32860273020711922"/>
    <n v="1.6525192548061957E-4"/>
  </r>
  <r>
    <d v="2023-08-22T00:00:00"/>
    <x v="0"/>
    <s v="Bhubaneswar"/>
    <x v="0"/>
    <s v="T-Shirt"/>
    <n v="4"/>
    <n v="153496.79999999999"/>
    <n v="99311.92"/>
    <x v="2"/>
    <n v="54184.88"/>
    <s v="August"/>
    <x v="8"/>
    <n v="0.35300331993891731"/>
    <n v="1.4214584503672535E-3"/>
  </r>
  <r>
    <d v="2023-05-04T00:00:00"/>
    <x v="0"/>
    <s v="Patna"/>
    <x v="3"/>
    <s v="Sofa"/>
    <n v="5"/>
    <n v="10676"/>
    <n v="6860.39"/>
    <x v="1"/>
    <n v="3815.61"/>
    <s v="May"/>
    <x v="6"/>
    <n v="0.35740071187710754"/>
    <n v="9.8865190780008446E-5"/>
  </r>
  <r>
    <d v="2023-10-12T00:00:00"/>
    <x v="3"/>
    <s v="Jaipur"/>
    <x v="0"/>
    <s v="Jeans"/>
    <n v="4"/>
    <n v="4369"/>
    <n v="2998.64"/>
    <x v="4"/>
    <n v="1370.36"/>
    <s v="October"/>
    <x v="1"/>
    <n v="0.31365529869535358"/>
    <n v="4.0459162468888806E-5"/>
  </r>
  <r>
    <d v="2023-10-05T00:00:00"/>
    <x v="3"/>
    <s v="Jaipur"/>
    <x v="0"/>
    <s v="Jeans"/>
    <n v="4"/>
    <n v="112652.8"/>
    <n v="89298.25"/>
    <x v="1"/>
    <n v="23354.55"/>
    <s v="October"/>
    <x v="1"/>
    <n v="0.20731442094648334"/>
    <n v="1.0432222334115901E-3"/>
  </r>
  <r>
    <d v="2023-11-05T00:00:00"/>
    <x v="2"/>
    <s v="Mumbai"/>
    <x v="2"/>
    <s v="Laptop"/>
    <n v="1"/>
    <n v="2310.4"/>
    <n v="1367.95"/>
    <x v="0"/>
    <n v="942.45"/>
    <s v="November"/>
    <x v="0"/>
    <n v="0.40791637811634351"/>
    <n v="2.1395479278581071E-5"/>
  </r>
  <r>
    <d v="2023-12-07T00:00:00"/>
    <x v="0"/>
    <s v="Bhubaneswar"/>
    <x v="0"/>
    <s v="Jacket"/>
    <n v="2"/>
    <n v="16110.4"/>
    <n v="9644.59"/>
    <x v="1"/>
    <n v="6465.81"/>
    <s v="December"/>
    <x v="4"/>
    <n v="0.40134385241831366"/>
    <n v="1.4919049920777893E-4"/>
  </r>
  <r>
    <d v="2023-04-02T00:00:00"/>
    <x v="1"/>
    <s v="Hyderabad"/>
    <x v="1"/>
    <s v="Watch"/>
    <n v="4"/>
    <n v="2169.1999999999998"/>
    <n v="1381.39"/>
    <x v="4"/>
    <n v="787.81"/>
    <s v="April"/>
    <x v="11"/>
    <n v="0.36317997418403097"/>
    <n v="2.0087895451479421E-5"/>
  </r>
  <r>
    <d v="2023-09-30T00:00:00"/>
    <x v="0"/>
    <s v="Kolkata"/>
    <x v="0"/>
    <s v="T-Shirt"/>
    <n v="7"/>
    <n v="162208.9"/>
    <n v="105507.92"/>
    <x v="4"/>
    <n v="56700.98"/>
    <s v="September"/>
    <x v="3"/>
    <n v="0.34955529567119931"/>
    <n v="1.5021369281299466E-3"/>
  </r>
  <r>
    <d v="2023-12-07T00:00:00"/>
    <x v="0"/>
    <s v="Patna"/>
    <x v="1"/>
    <s v="Bag"/>
    <n v="1"/>
    <n v="42935.25"/>
    <n v="28567.46"/>
    <x v="0"/>
    <n v="14367.79"/>
    <s v="December"/>
    <x v="4"/>
    <n v="0.33463855456763386"/>
    <n v="3.9760225575471688E-4"/>
  </r>
  <r>
    <d v="2023-04-01T00:00:00"/>
    <x v="2"/>
    <s v="Mumbai"/>
    <x v="2"/>
    <s v="Laptop"/>
    <n v="4"/>
    <n v="97146"/>
    <n v="56645.16"/>
    <x v="2"/>
    <n v="40500.839999999997"/>
    <s v="April"/>
    <x v="11"/>
    <n v="0.41690692359953058"/>
    <n v="8.9962137724940996E-4"/>
  </r>
  <r>
    <d v="2023-09-03T00:00:00"/>
    <x v="3"/>
    <s v="Chandigarh"/>
    <x v="0"/>
    <s v="Jeans"/>
    <n v="5"/>
    <n v="17552.5"/>
    <n v="9820.5400000000009"/>
    <x v="4"/>
    <n v="7731.96"/>
    <s v="September"/>
    <x v="3"/>
    <n v="0.44050477140008548"/>
    <n v="1.6254507879038011E-4"/>
  </r>
  <r>
    <d v="2023-01-12T00:00:00"/>
    <x v="0"/>
    <s v="Bhubaneswar"/>
    <x v="1"/>
    <s v="Watch"/>
    <n v="1"/>
    <n v="1450.95"/>
    <n v="967.34"/>
    <x v="4"/>
    <n v="483.61"/>
    <s v="January"/>
    <x v="10"/>
    <n v="0.33330576518832489"/>
    <n v="1.3436535084512294E-5"/>
  </r>
  <r>
    <d v="2023-07-02T00:00:00"/>
    <x v="1"/>
    <s v="Bangalore"/>
    <x v="0"/>
    <s v="Jacket"/>
    <n v="2"/>
    <n v="66529.5"/>
    <n v="50954.07"/>
    <x v="4"/>
    <n v="15575.43"/>
    <s v="July"/>
    <x v="5"/>
    <n v="0.23411313778098439"/>
    <n v="6.1609701292605575E-4"/>
  </r>
  <r>
    <d v="2023-09-06T00:00:00"/>
    <x v="1"/>
    <s v="Chennai"/>
    <x v="0"/>
    <s v="T-Shirt"/>
    <n v="6"/>
    <n v="75745.8"/>
    <n v="51341.93"/>
    <x v="2"/>
    <n v="24403.87"/>
    <s v="September"/>
    <x v="3"/>
    <n v="0.32218116384010725"/>
    <n v="7.0144463917050988E-4"/>
  </r>
  <r>
    <d v="2023-06-24T00:00:00"/>
    <x v="0"/>
    <s v="Patna"/>
    <x v="2"/>
    <s v="Tablet"/>
    <n v="5"/>
    <n v="218596.5"/>
    <n v="142502.20000000001"/>
    <x v="2"/>
    <n v="76094.3"/>
    <s v="June"/>
    <x v="7"/>
    <n v="0.34810392664109446"/>
    <n v="2.0243147879676015E-3"/>
  </r>
  <r>
    <d v="2023-12-03T00:00:00"/>
    <x v="0"/>
    <s v="Bhubaneswar"/>
    <x v="1"/>
    <s v="Belt"/>
    <n v="5"/>
    <n v="100015"/>
    <n v="56495.26"/>
    <x v="3"/>
    <n v="43519.74"/>
    <s v="December"/>
    <x v="4"/>
    <n v="0.43513213018047292"/>
    <n v="9.2618977668251638E-4"/>
  </r>
  <r>
    <d v="2023-01-13T00:00:00"/>
    <x v="3"/>
    <s v="Delhi"/>
    <x v="2"/>
    <s v="Headphones"/>
    <n v="3"/>
    <n v="110727"/>
    <n v="73310.11"/>
    <x v="2"/>
    <n v="37416.89"/>
    <s v="January"/>
    <x v="10"/>
    <n v="0.33792020013185581"/>
    <n v="1.0253883457753835E-3"/>
  </r>
  <r>
    <d v="2023-11-19T00:00:00"/>
    <x v="0"/>
    <s v="Patna"/>
    <x v="2"/>
    <s v="Tablet"/>
    <n v="7"/>
    <n v="192668"/>
    <n v="107438.88"/>
    <x v="1"/>
    <n v="85229.119999999995"/>
    <s v="November"/>
    <x v="0"/>
    <n v="0.44236261340751964"/>
    <n v="1.7842036883854127E-3"/>
  </r>
  <r>
    <d v="2023-06-01T00:00:00"/>
    <x v="1"/>
    <s v="Chennai"/>
    <x v="3"/>
    <s v="Cupboard"/>
    <n v="6"/>
    <n v="3957.6"/>
    <n v="2972.59"/>
    <x v="4"/>
    <n v="985.01"/>
    <s v="June"/>
    <x v="7"/>
    <n v="0.24889074186375582"/>
    <n v="3.6649389193608223E-5"/>
  </r>
  <r>
    <d v="2023-10-09T00:00:00"/>
    <x v="0"/>
    <s v="Patna"/>
    <x v="2"/>
    <s v="Smartphone"/>
    <n v="7"/>
    <n v="178353"/>
    <n v="107040.83"/>
    <x v="2"/>
    <n v="71312.17"/>
    <s v="October"/>
    <x v="1"/>
    <n v="0.39983723290328727"/>
    <n v="1.6516395064805963E-3"/>
  </r>
  <r>
    <d v="2023-01-01T00:00:00"/>
    <x v="3"/>
    <s v="Jaipur"/>
    <x v="3"/>
    <s v="Sofa"/>
    <n v="3"/>
    <n v="4049.4"/>
    <n v="3071.62"/>
    <x v="4"/>
    <n v="977.78"/>
    <s v="January"/>
    <x v="10"/>
    <n v="0.24146293278016495"/>
    <n v="3.7499503891398104E-5"/>
  </r>
  <r>
    <d v="2023-06-13T00:00:00"/>
    <x v="0"/>
    <s v="Kolkata"/>
    <x v="2"/>
    <s v="Headphones"/>
    <n v="5"/>
    <n v="38975"/>
    <n v="28901.09"/>
    <x v="3"/>
    <n v="10073.91"/>
    <s v="June"/>
    <x v="7"/>
    <n v="0.25847107119948687"/>
    <n v="3.6092832621307879E-4"/>
  </r>
  <r>
    <d v="2023-09-17T00:00:00"/>
    <x v="0"/>
    <s v="Patna"/>
    <x v="0"/>
    <s v="Shirt"/>
    <n v="7"/>
    <n v="79986.2"/>
    <n v="45545.13"/>
    <x v="0"/>
    <n v="34441.07"/>
    <s v="September"/>
    <x v="3"/>
    <n v="0.43058765136986132"/>
    <n v="7.4071290022179753E-4"/>
  </r>
  <r>
    <d v="2023-10-17T00:00:00"/>
    <x v="1"/>
    <s v="Hyderabad"/>
    <x v="3"/>
    <s v="Sofa"/>
    <n v="3"/>
    <n v="63296.1"/>
    <n v="43943.96"/>
    <x v="4"/>
    <n v="19352.14"/>
    <s v="October"/>
    <x v="1"/>
    <n v="0.30573984811070509"/>
    <n v="5.8615408412612325E-4"/>
  </r>
  <r>
    <d v="2023-06-11T00:00:00"/>
    <x v="3"/>
    <s v="Delhi"/>
    <x v="0"/>
    <s v="Jacket"/>
    <n v="6"/>
    <n v="128426.7"/>
    <n v="73102.47"/>
    <x v="0"/>
    <n v="55324.23"/>
    <s v="June"/>
    <x v="7"/>
    <n v="0.43078448640352829"/>
    <n v="1.1892965714450083E-3"/>
  </r>
  <r>
    <d v="2023-08-03T00:00:00"/>
    <x v="1"/>
    <s v="Chennai"/>
    <x v="1"/>
    <s v="Bag"/>
    <n v="2"/>
    <n v="79206.399999999994"/>
    <n v="60660.24"/>
    <x v="4"/>
    <n v="18546.16"/>
    <s v="August"/>
    <x v="8"/>
    <n v="0.234149765675501"/>
    <n v="7.3349155554492881E-4"/>
  </r>
  <r>
    <d v="2023-08-21T00:00:00"/>
    <x v="1"/>
    <s v="Chennai"/>
    <x v="0"/>
    <s v="Jacket"/>
    <n v="6"/>
    <n v="173030.39999999999"/>
    <n v="131599.6"/>
    <x v="1"/>
    <n v="41430.800000000003"/>
    <s v="August"/>
    <x v="8"/>
    <n v="0.23944231765054005"/>
    <n v="1.6023495229244261E-3"/>
  </r>
  <r>
    <d v="2023-08-02T00:00:00"/>
    <x v="1"/>
    <s v="Bangalore"/>
    <x v="2"/>
    <s v="Laptop"/>
    <n v="3"/>
    <n v="125906.4"/>
    <n v="89639.61"/>
    <x v="2"/>
    <n v="36266.79"/>
    <s v="August"/>
    <x v="8"/>
    <n v="0.28804564343035782"/>
    <n v="1.1659573113922868E-3"/>
  </r>
  <r>
    <d v="2023-02-21T00:00:00"/>
    <x v="0"/>
    <s v="Kolkata"/>
    <x v="0"/>
    <s v="Jacket"/>
    <n v="6"/>
    <n v="80931.899999999994"/>
    <n v="57153.78"/>
    <x v="4"/>
    <n v="23778.12"/>
    <s v="February"/>
    <x v="2"/>
    <n v="0.293804050071727"/>
    <n v="7.4947056329042376E-4"/>
  </r>
  <r>
    <d v="2023-12-01T00:00:00"/>
    <x v="2"/>
    <s v="Pune"/>
    <x v="3"/>
    <s v="Table"/>
    <n v="4"/>
    <n v="56905.8"/>
    <n v="35611.57"/>
    <x v="4"/>
    <n v="21294.23"/>
    <s v="December"/>
    <x v="4"/>
    <n v="0.37420139950585002"/>
    <n v="5.2697665544108321E-4"/>
  </r>
  <r>
    <d v="2023-10-17T00:00:00"/>
    <x v="1"/>
    <s v="Chennai"/>
    <x v="0"/>
    <s v="Shirt"/>
    <n v="5"/>
    <n v="28927.5"/>
    <n v="18813.330000000002"/>
    <x v="0"/>
    <n v="10114.17"/>
    <s v="October"/>
    <x v="1"/>
    <n v="0.34963857920663727"/>
    <n v="2.6788336514506318E-4"/>
  </r>
  <r>
    <d v="2023-08-29T00:00:00"/>
    <x v="1"/>
    <s v="Chennai"/>
    <x v="0"/>
    <s v="Jacket"/>
    <n v="1"/>
    <n v="14527"/>
    <n v="9143.25"/>
    <x v="3"/>
    <n v="5383.75"/>
    <s v="August"/>
    <x v="8"/>
    <n v="0.37060301507537691"/>
    <n v="1.3452740974720707E-4"/>
  </r>
  <r>
    <d v="2023-11-02T00:00:00"/>
    <x v="1"/>
    <s v="Bangalore"/>
    <x v="3"/>
    <s v="Table"/>
    <n v="6"/>
    <n v="164502"/>
    <n v="93054.24"/>
    <x v="3"/>
    <n v="71447.759999999995"/>
    <s v="November"/>
    <x v="0"/>
    <n v="0.43432760695918587"/>
    <n v="1.5233722006081818E-3"/>
  </r>
  <r>
    <d v="2023-03-06T00:00:00"/>
    <x v="2"/>
    <s v="Mumbai"/>
    <x v="3"/>
    <s v="Chair"/>
    <n v="4"/>
    <n v="19638.400000000001"/>
    <n v="11301.37"/>
    <x v="4"/>
    <n v="8337.0300000000007"/>
    <s v="March"/>
    <x v="9"/>
    <n v="0.42452694720547501"/>
    <n v="1.818615738679391E-4"/>
  </r>
  <r>
    <d v="2023-11-03T00:00:00"/>
    <x v="0"/>
    <s v="Bhubaneswar"/>
    <x v="2"/>
    <s v="Tablet"/>
    <n v="2"/>
    <n v="64244.7"/>
    <n v="48005.77"/>
    <x v="4"/>
    <n v="16238.93"/>
    <s v="November"/>
    <x v="0"/>
    <n v="0.25276684302362684"/>
    <n v="5.9493860266995207E-4"/>
  </r>
  <r>
    <d v="2023-08-06T00:00:00"/>
    <x v="3"/>
    <s v="Jaipur"/>
    <x v="2"/>
    <s v="Smartphone"/>
    <n v="4"/>
    <n v="179808"/>
    <n v="129777.29"/>
    <x v="3"/>
    <n v="50030.71"/>
    <s v="August"/>
    <x v="8"/>
    <n v="0.27824518375155721"/>
    <n v="1.6651135466253051E-3"/>
  </r>
  <r>
    <d v="2023-08-01T00:00:00"/>
    <x v="3"/>
    <s v="Delhi"/>
    <x v="1"/>
    <s v="Belt"/>
    <n v="1"/>
    <n v="22779.1"/>
    <n v="13320.74"/>
    <x v="0"/>
    <n v="9458.36"/>
    <s v="August"/>
    <x v="8"/>
    <n v="0.41522097009978448"/>
    <n v="2.1094605351226024E-4"/>
  </r>
  <r>
    <d v="2023-10-08T00:00:00"/>
    <x v="3"/>
    <s v="Jaipur"/>
    <x v="2"/>
    <s v="Laptop"/>
    <n v="1"/>
    <n v="22434.3"/>
    <n v="17671.349999999999"/>
    <x v="2"/>
    <n v="4762.95"/>
    <s v="October"/>
    <x v="1"/>
    <n v="0.21230660194434414"/>
    <n v="2.0775303011576839E-4"/>
  </r>
  <r>
    <d v="2023-04-11T00:00:00"/>
    <x v="1"/>
    <s v="Bangalore"/>
    <x v="2"/>
    <s v="Headphones"/>
    <n v="3"/>
    <n v="16172.1"/>
    <n v="12935.52"/>
    <x v="4"/>
    <n v="3236.58"/>
    <s v="April"/>
    <x v="11"/>
    <n v="0.20013356335911847"/>
    <n v="1.4976187259398412E-4"/>
  </r>
  <r>
    <d v="2023-08-15T00:00:00"/>
    <x v="1"/>
    <s v="Hyderabad"/>
    <x v="1"/>
    <s v="Wallet"/>
    <n v="1"/>
    <n v="1784.1"/>
    <n v="1264.22"/>
    <x v="0"/>
    <n v="519.88"/>
    <s v="August"/>
    <x v="8"/>
    <n v="0.29139622218485511"/>
    <n v="1.6521673554759557E-5"/>
  </r>
  <r>
    <d v="2023-04-10T00:00:00"/>
    <x v="2"/>
    <s v="Mumbai"/>
    <x v="1"/>
    <s v="Belt"/>
    <n v="1"/>
    <n v="13132.8"/>
    <n v="9035.59"/>
    <x v="0"/>
    <n v="4097.21"/>
    <s v="April"/>
    <x v="11"/>
    <n v="0.31198297392787527"/>
    <n v="1.2161640853088186E-4"/>
  </r>
  <r>
    <d v="2023-12-09T00:00:00"/>
    <x v="0"/>
    <s v="Patna"/>
    <x v="1"/>
    <s v="Watch"/>
    <n v="1"/>
    <n v="30654"/>
    <n v="22961.69"/>
    <x v="3"/>
    <n v="7692.31"/>
    <s v="December"/>
    <x v="4"/>
    <n v="0.25093984471847069"/>
    <n v="2.8387163339924868E-4"/>
  </r>
  <r>
    <d v="2023-11-22T00:00:00"/>
    <x v="3"/>
    <s v="Delhi"/>
    <x v="3"/>
    <s v="Chair"/>
    <n v="7"/>
    <n v="206143.35"/>
    <n v="151365.73000000001"/>
    <x v="0"/>
    <n v="54777.62"/>
    <s v="November"/>
    <x v="0"/>
    <n v="0.26572586503518064"/>
    <n v="1.9089922841682328E-3"/>
  </r>
  <r>
    <d v="2023-08-15T00:00:00"/>
    <x v="2"/>
    <s v="Mumbai"/>
    <x v="1"/>
    <s v="Wallet"/>
    <n v="6"/>
    <n v="43425.599999999999"/>
    <n v="27004.31"/>
    <x v="1"/>
    <n v="16421.29"/>
    <s v="August"/>
    <x v="8"/>
    <n v="0.37814768247301134"/>
    <n v="4.0214314619111411E-4"/>
  </r>
  <r>
    <d v="2023-02-22T00:00:00"/>
    <x v="3"/>
    <s v="Delhi"/>
    <x v="2"/>
    <s v="Smartphone"/>
    <n v="6"/>
    <n v="167716.79999999999"/>
    <n v="103464.19"/>
    <x v="1"/>
    <n v="64252.61"/>
    <s v="February"/>
    <x v="2"/>
    <n v="0.38310181210230582"/>
    <n v="1.5531428839464705E-3"/>
  </r>
  <r>
    <d v="2023-12-22T00:00:00"/>
    <x v="1"/>
    <s v="Chennai"/>
    <x v="2"/>
    <s v="Laptop"/>
    <n v="6"/>
    <n v="106584.3"/>
    <n v="59136.37"/>
    <x v="0"/>
    <n v="47447.93"/>
    <s v="December"/>
    <x v="4"/>
    <n v="0.4451680969898944"/>
    <n v="9.8702483642315987E-4"/>
  </r>
  <r>
    <d v="2023-01-24T00:00:00"/>
    <x v="1"/>
    <s v="Chennai"/>
    <x v="0"/>
    <s v="T-Shirt"/>
    <n v="3"/>
    <n v="106278"/>
    <n v="82526.62"/>
    <x v="3"/>
    <n v="23751.38"/>
    <s v="January"/>
    <x v="10"/>
    <n v="0.22348350552325036"/>
    <n v="9.8418834261125294E-4"/>
  </r>
  <r>
    <d v="2023-12-06T00:00:00"/>
    <x v="3"/>
    <s v="Jaipur"/>
    <x v="2"/>
    <s v="Headphones"/>
    <n v="2"/>
    <n v="38271.699999999997"/>
    <n v="27532.11"/>
    <x v="0"/>
    <n v="10739.59"/>
    <s v="December"/>
    <x v="4"/>
    <n v="0.28061439653843445"/>
    <n v="3.5441541045103494E-4"/>
  </r>
  <r>
    <d v="2023-06-30T00:00:00"/>
    <x v="0"/>
    <s v="Bhubaneswar"/>
    <x v="2"/>
    <s v="Headphones"/>
    <n v="4"/>
    <n v="11033"/>
    <n v="6414.45"/>
    <x v="4"/>
    <n v="4618.55"/>
    <s v="June"/>
    <x v="7"/>
    <n v="0.41861234478383036"/>
    <n v="1.0217119238252465E-4"/>
  </r>
  <r>
    <d v="2023-02-24T00:00:00"/>
    <x v="1"/>
    <s v="Hyderabad"/>
    <x v="0"/>
    <s v="Jeans"/>
    <n v="1"/>
    <n v="24492.799999999999"/>
    <n v="15563.97"/>
    <x v="1"/>
    <n v="8928.83"/>
    <s v="February"/>
    <x v="2"/>
    <n v="0.3645491736347008"/>
    <n v="2.2681578725520707E-4"/>
  </r>
  <r>
    <d v="2023-05-15T00:00:00"/>
    <x v="1"/>
    <s v="Hyderabad"/>
    <x v="1"/>
    <s v="Watch"/>
    <n v="6"/>
    <n v="35937"/>
    <n v="25721.97"/>
    <x v="2"/>
    <n v="10215.030000000001"/>
    <s v="May"/>
    <x v="6"/>
    <n v="0.28424826780198681"/>
    <n v="3.3279490081127418E-4"/>
  </r>
  <r>
    <d v="2023-02-14T00:00:00"/>
    <x v="2"/>
    <s v="Ahmedabad"/>
    <x v="0"/>
    <s v="T-Shirt"/>
    <n v="3"/>
    <n v="71409"/>
    <n v="50096.03"/>
    <x v="3"/>
    <n v="21312.97"/>
    <s v="February"/>
    <x v="2"/>
    <n v="0.29846335896035514"/>
    <n v="6.6128366508145587E-4"/>
  </r>
  <r>
    <d v="2023-08-14T00:00:00"/>
    <x v="1"/>
    <s v="Hyderabad"/>
    <x v="1"/>
    <s v="Wallet"/>
    <n v="3"/>
    <n v="87216"/>
    <n v="68407.399999999994"/>
    <x v="3"/>
    <n v="18808.599999999999"/>
    <s v="August"/>
    <x v="8"/>
    <n v="0.21565538433314987"/>
    <n v="8.0766452595253059E-4"/>
  </r>
  <r>
    <d v="2023-04-14T00:00:00"/>
    <x v="2"/>
    <s v="Mumbai"/>
    <x v="0"/>
    <s v="Shirt"/>
    <n v="7"/>
    <n v="329620.55"/>
    <n v="229268.3"/>
    <x v="0"/>
    <n v="100352.25"/>
    <s v="April"/>
    <x v="11"/>
    <n v="0.30444779610979961"/>
    <n v="3.0524539678495046E-3"/>
  </r>
  <r>
    <d v="2023-01-28T00:00:00"/>
    <x v="3"/>
    <s v="Jaipur"/>
    <x v="2"/>
    <s v="Headphones"/>
    <n v="4"/>
    <n v="47595.6"/>
    <n v="37633.46"/>
    <x v="2"/>
    <n v="9962.14"/>
    <s v="January"/>
    <x v="10"/>
    <n v="0.20930800326080562"/>
    <n v="4.4075946743058912E-4"/>
  </r>
  <r>
    <d v="2023-01-25T00:00:00"/>
    <x v="1"/>
    <s v="Bangalore"/>
    <x v="2"/>
    <s v="Tablet"/>
    <n v="2"/>
    <n v="15502.1"/>
    <n v="11998.92"/>
    <x v="0"/>
    <n v="3503.18"/>
    <s v="January"/>
    <x v="10"/>
    <n v="0.22598099612310588"/>
    <n v="1.4355733177133466E-4"/>
  </r>
  <r>
    <d v="2023-03-09T00:00:00"/>
    <x v="1"/>
    <s v="Hyderabad"/>
    <x v="2"/>
    <s v="Tablet"/>
    <n v="3"/>
    <n v="100608"/>
    <n v="68596.17"/>
    <x v="1"/>
    <n v="32011.83"/>
    <s v="March"/>
    <x v="9"/>
    <n v="0.31818374284351147"/>
    <n v="9.3168125833599567E-4"/>
  </r>
  <r>
    <d v="2023-07-07T00:00:00"/>
    <x v="0"/>
    <s v="Bhubaneswar"/>
    <x v="1"/>
    <s v="Belt"/>
    <n v="3"/>
    <n v="87567"/>
    <n v="55546.82"/>
    <x v="4"/>
    <n v="32020.18"/>
    <s v="July"/>
    <x v="5"/>
    <n v="0.36566491943311979"/>
    <n v="8.1091496450290369E-4"/>
  </r>
  <r>
    <d v="2023-01-05T00:00:00"/>
    <x v="3"/>
    <s v="Jaipur"/>
    <x v="0"/>
    <s v="T-Shirt"/>
    <n v="6"/>
    <n v="208511.7"/>
    <n v="122360.04"/>
    <x v="0"/>
    <n v="86151.66"/>
    <s v="January"/>
    <x v="10"/>
    <n v="0.41317422475573312"/>
    <n v="1.9309244099254296E-3"/>
  </r>
  <r>
    <d v="2023-08-14T00:00:00"/>
    <x v="2"/>
    <s v="Mumbai"/>
    <x v="0"/>
    <s v="Shirt"/>
    <n v="6"/>
    <n v="199294.8"/>
    <n v="124654.75"/>
    <x v="0"/>
    <n v="74640.05"/>
    <s v="August"/>
    <x v="8"/>
    <n v="0.37452081037739071"/>
    <n v="1.8455712273757611E-3"/>
  </r>
  <r>
    <d v="2023-10-29T00:00:00"/>
    <x v="0"/>
    <s v="Kolkata"/>
    <x v="3"/>
    <s v="Chair"/>
    <n v="6"/>
    <n v="157183.20000000001"/>
    <n v="107940.05"/>
    <x v="0"/>
    <n v="49243.15"/>
    <s v="October"/>
    <x v="1"/>
    <n v="0.31328507117809029"/>
    <n v="1.4555963896039925E-3"/>
  </r>
  <r>
    <d v="2023-08-23T00:00:00"/>
    <x v="3"/>
    <s v="Jaipur"/>
    <x v="3"/>
    <s v="Sofa"/>
    <n v="6"/>
    <n v="186744"/>
    <n v="125180.73"/>
    <x v="1"/>
    <n v="61563.27"/>
    <s v="August"/>
    <x v="8"/>
    <n v="0.32966665595681788"/>
    <n v="1.729344434902763E-3"/>
  </r>
  <r>
    <d v="2023-06-05T00:00:00"/>
    <x v="2"/>
    <s v="Mumbai"/>
    <x v="2"/>
    <s v="Headphones"/>
    <n v="3"/>
    <n v="78249.600000000006"/>
    <n v="59739.360000000001"/>
    <x v="0"/>
    <n v="18510.240000000002"/>
    <s v="June"/>
    <x v="7"/>
    <n v="0.23655379708011287"/>
    <n v="7.2463110082983785E-4"/>
  </r>
  <r>
    <d v="2023-11-28T00:00:00"/>
    <x v="2"/>
    <s v="Pune"/>
    <x v="2"/>
    <s v="Headphones"/>
    <n v="4"/>
    <n v="94863.6"/>
    <n v="75443.69"/>
    <x v="2"/>
    <n v="19419.91"/>
    <s v="November"/>
    <x v="0"/>
    <n v="0.20471403151472217"/>
    <n v="8.7848519221416345E-4"/>
  </r>
  <r>
    <d v="2023-09-17T00:00:00"/>
    <x v="0"/>
    <s v="Kolkata"/>
    <x v="2"/>
    <s v="Smartphone"/>
    <n v="3"/>
    <n v="112204.5"/>
    <n v="89235.62"/>
    <x v="0"/>
    <n v="22968.880000000001"/>
    <s v="September"/>
    <x v="3"/>
    <n v="0.20470551537594303"/>
    <n v="1.0390707473656292E-3"/>
  </r>
  <r>
    <d v="2023-09-02T00:00:00"/>
    <x v="2"/>
    <s v="Ahmedabad"/>
    <x v="2"/>
    <s v="Tablet"/>
    <n v="5"/>
    <n v="142505"/>
    <n v="112583.78"/>
    <x v="3"/>
    <n v="29921.22"/>
    <s v="September"/>
    <x v="3"/>
    <n v="0.20996610645240518"/>
    <n v="1.3196687909427785E-3"/>
  </r>
  <r>
    <d v="2023-11-17T00:00:00"/>
    <x v="2"/>
    <s v="Pune"/>
    <x v="3"/>
    <s v="Sofa"/>
    <n v="5"/>
    <n v="81995.25"/>
    <n v="50167.57"/>
    <x v="4"/>
    <n v="31827.68"/>
    <s v="November"/>
    <x v="0"/>
    <n v="0.38816492418768161"/>
    <n v="7.5931772520649004E-4"/>
  </r>
  <r>
    <d v="2023-03-27T00:00:00"/>
    <x v="0"/>
    <s v="Bhubaneswar"/>
    <x v="2"/>
    <s v="Tablet"/>
    <n v="4"/>
    <n v="109238.6"/>
    <n v="81154.09"/>
    <x v="0"/>
    <n v="28084.51"/>
    <s v="March"/>
    <x v="9"/>
    <n v="0.25709328021413674"/>
    <n v="1.0116050046404114E-3"/>
  </r>
  <r>
    <d v="2023-09-12T00:00:00"/>
    <x v="2"/>
    <s v="Mumbai"/>
    <x v="2"/>
    <s v="Smartphone"/>
    <n v="4"/>
    <n v="62968"/>
    <n v="49212.55"/>
    <x v="4"/>
    <n v="13755.45"/>
    <s v="September"/>
    <x v="3"/>
    <n v="0.21845143564985389"/>
    <n v="5.8311571122476316E-4"/>
  </r>
  <r>
    <d v="2023-04-01T00:00:00"/>
    <x v="0"/>
    <s v="Kolkata"/>
    <x v="1"/>
    <s v="Bag"/>
    <n v="4"/>
    <n v="20774.599999999999"/>
    <n v="14099.12"/>
    <x v="0"/>
    <n v="6675.48"/>
    <s v="April"/>
    <x v="11"/>
    <n v="0.32132893052092459"/>
    <n v="1.923833638421097E-4"/>
  </r>
  <r>
    <d v="2023-01-10T00:00:00"/>
    <x v="1"/>
    <s v="Bangalore"/>
    <x v="0"/>
    <s v="T-Shirt"/>
    <n v="5"/>
    <n v="173765.5"/>
    <n v="124348.07"/>
    <x v="4"/>
    <n v="49417.43"/>
    <s v="January"/>
    <x v="10"/>
    <n v="0.28439149313298667"/>
    <n v="1.6091569228628285E-3"/>
  </r>
  <r>
    <d v="2023-06-09T00:00:00"/>
    <x v="2"/>
    <s v="Mumbai"/>
    <x v="3"/>
    <s v="Cupboard"/>
    <n v="7"/>
    <n v="171184.3"/>
    <n v="136658.78"/>
    <x v="0"/>
    <n v="34525.519999999997"/>
    <s v="June"/>
    <x v="7"/>
    <n v="0.20168625276967572"/>
    <n v="1.5852536978308541E-3"/>
  </r>
  <r>
    <d v="2023-06-12T00:00:00"/>
    <x v="3"/>
    <s v="Delhi"/>
    <x v="0"/>
    <s v="T-Shirt"/>
    <n v="3"/>
    <n v="24661.05"/>
    <n v="18213.82"/>
    <x v="4"/>
    <n v="6447.23"/>
    <s v="June"/>
    <x v="7"/>
    <n v="0.26143371835343587"/>
    <n v="2.2837386784238734E-4"/>
  </r>
  <r>
    <d v="2023-04-26T00:00:00"/>
    <x v="0"/>
    <s v="Kolkata"/>
    <x v="0"/>
    <s v="Jacket"/>
    <n v="2"/>
    <n v="39298"/>
    <n v="29351.18"/>
    <x v="3"/>
    <n v="9946.82"/>
    <s v="April"/>
    <x v="11"/>
    <n v="0.25311262659677336"/>
    <n v="3.6391947052011726E-4"/>
  </r>
  <r>
    <d v="2023-04-26T00:00:00"/>
    <x v="3"/>
    <s v="Delhi"/>
    <x v="0"/>
    <s v="Jeans"/>
    <n v="4"/>
    <n v="60484.6"/>
    <n v="47151.360000000001"/>
    <x v="0"/>
    <n v="13333.24"/>
    <s v="April"/>
    <x v="11"/>
    <n v="0.22044024429358877"/>
    <n v="5.6011816394272189E-4"/>
  </r>
  <r>
    <d v="2023-10-05T00:00:00"/>
    <x v="0"/>
    <s v="Patna"/>
    <x v="0"/>
    <s v="Jacket"/>
    <n v="1"/>
    <n v="16867.2"/>
    <n v="9428.84"/>
    <x v="1"/>
    <n v="7438.36"/>
    <s v="October"/>
    <x v="1"/>
    <n v="0.44099554164295196"/>
    <n v="1.5619885218476568E-4"/>
  </r>
  <r>
    <d v="2023-05-29T00:00:00"/>
    <x v="1"/>
    <s v="Bangalore"/>
    <x v="2"/>
    <s v="Laptop"/>
    <n v="4"/>
    <n v="48585.599999999999"/>
    <n v="33564.449999999997"/>
    <x v="2"/>
    <n v="15021.15"/>
    <s v="May"/>
    <x v="6"/>
    <n v="0.30916876605413951"/>
    <n v="4.4992737103420551E-4"/>
  </r>
  <r>
    <d v="2023-05-12T00:00:00"/>
    <x v="0"/>
    <s v="Patna"/>
    <x v="0"/>
    <s v="Jacket"/>
    <n v="5"/>
    <n v="161343.25"/>
    <n v="124740.85"/>
    <x v="0"/>
    <n v="36602.400000000001"/>
    <s v="May"/>
    <x v="6"/>
    <n v="0.22686043574800929"/>
    <n v="1.4941205687819968E-3"/>
  </r>
  <r>
    <d v="2023-05-27T00:00:00"/>
    <x v="0"/>
    <s v="Patna"/>
    <x v="1"/>
    <s v="Belt"/>
    <n v="2"/>
    <n v="58316.800000000003"/>
    <n v="35796.44"/>
    <x v="1"/>
    <n v="22520.36"/>
    <s v="May"/>
    <x v="6"/>
    <n v="0.38617276668129935"/>
    <n v="5.400432332034092E-4"/>
  </r>
  <r>
    <d v="2023-09-28T00:00:00"/>
    <x v="2"/>
    <s v="Ahmedabad"/>
    <x v="3"/>
    <s v="Cupboard"/>
    <n v="6"/>
    <n v="154720.79999999999"/>
    <n v="87765.67"/>
    <x v="2"/>
    <n v="66955.13"/>
    <s v="September"/>
    <x v="3"/>
    <n v="0.43274808558383882"/>
    <n v="1.4327933130044519E-3"/>
  </r>
  <r>
    <d v="2023-07-08T00:00:00"/>
    <x v="0"/>
    <s v="Kolkata"/>
    <x v="2"/>
    <s v="Tablet"/>
    <n v="7"/>
    <n v="308114.09999999998"/>
    <n v="233845.19"/>
    <x v="2"/>
    <n v="74268.91"/>
    <s v="July"/>
    <x v="5"/>
    <n v="0.24104352900435264"/>
    <n v="2.8532933007222364E-3"/>
  </r>
  <r>
    <d v="2023-06-30T00:00:00"/>
    <x v="2"/>
    <s v="Pune"/>
    <x v="2"/>
    <s v="Headphones"/>
    <n v="2"/>
    <n v="35926.199999999997"/>
    <n v="24390.83"/>
    <x v="2"/>
    <n v="11535.37"/>
    <s v="June"/>
    <x v="7"/>
    <n v="0.3210851690409785"/>
    <n v="3.3269488731741656E-4"/>
  </r>
  <r>
    <d v="2023-09-06T00:00:00"/>
    <x v="2"/>
    <s v="Ahmedabad"/>
    <x v="2"/>
    <s v="Laptop"/>
    <n v="7"/>
    <n v="262808"/>
    <n v="144545.16"/>
    <x v="3"/>
    <n v="118262.84"/>
    <s v="September"/>
    <x v="3"/>
    <n v="0.44999710815500288"/>
    <n v="2.4337357679385966E-3"/>
  </r>
  <r>
    <d v="2023-01-03T00:00:00"/>
    <x v="2"/>
    <s v="Pune"/>
    <x v="3"/>
    <s v="Chair"/>
    <n v="1"/>
    <n v="34506.400000000001"/>
    <n v="21600.51"/>
    <x v="1"/>
    <n v="12905.89"/>
    <s v="January"/>
    <x v="10"/>
    <n v="0.37401438573713858"/>
    <n v="3.1954681707861406E-4"/>
  </r>
  <r>
    <d v="2023-08-27T00:00:00"/>
    <x v="2"/>
    <s v="Ahmedabad"/>
    <x v="3"/>
    <s v="Sofa"/>
    <n v="4"/>
    <n v="43353.4"/>
    <n v="26275.34"/>
    <x v="4"/>
    <n v="17078.060000000001"/>
    <s v="August"/>
    <x v="8"/>
    <n v="0.3939266585781046"/>
    <n v="4.0147453746365851E-4"/>
  </r>
  <r>
    <d v="2023-07-25T00:00:00"/>
    <x v="3"/>
    <s v="Delhi"/>
    <x v="2"/>
    <s v="Tablet"/>
    <n v="2"/>
    <n v="57627.199999999997"/>
    <n v="41961.55"/>
    <x v="1"/>
    <n v="15665.65"/>
    <s v="July"/>
    <x v="5"/>
    <n v="0.27184471916039649"/>
    <n v="5.336571864104255E-4"/>
  </r>
  <r>
    <d v="2023-01-22T00:00:00"/>
    <x v="3"/>
    <s v="Chandigarh"/>
    <x v="1"/>
    <s v="Belt"/>
    <n v="7"/>
    <n v="184931.95"/>
    <n v="147245.51999999999"/>
    <x v="4"/>
    <n v="37686.43"/>
    <s v="January"/>
    <x v="10"/>
    <n v="0.20378539241055965"/>
    <n v="1.7125639301301034E-3"/>
  </r>
  <r>
    <d v="2023-06-11T00:00:00"/>
    <x v="3"/>
    <s v="Chandigarh"/>
    <x v="2"/>
    <s v="Headphones"/>
    <n v="1"/>
    <n v="42846.9"/>
    <n v="31163.84"/>
    <x v="0"/>
    <n v="11683.06"/>
    <s v="June"/>
    <x v="7"/>
    <n v="0.27266990143977743"/>
    <n v="3.9678408981190933E-4"/>
  </r>
  <r>
    <d v="2023-09-30T00:00:00"/>
    <x v="0"/>
    <s v="Patna"/>
    <x v="2"/>
    <s v="Laptop"/>
    <n v="3"/>
    <n v="11545.35"/>
    <n v="7740.77"/>
    <x v="0"/>
    <n v="3804.58"/>
    <s v="September"/>
    <x v="3"/>
    <n v="0.32953353514618439"/>
    <n v="1.0691581401011339E-4"/>
  </r>
  <r>
    <d v="2023-08-05T00:00:00"/>
    <x v="2"/>
    <s v="Ahmedabad"/>
    <x v="2"/>
    <s v="Tablet"/>
    <n v="5"/>
    <n v="58040"/>
    <n v="39378.03"/>
    <x v="3"/>
    <n v="18661.97"/>
    <s v="August"/>
    <x v="8"/>
    <n v="0.32153635423845628"/>
    <n v="5.374799243978728E-4"/>
  </r>
  <r>
    <d v="2023-06-16T00:00:00"/>
    <x v="0"/>
    <s v="Kolkata"/>
    <x v="2"/>
    <s v="Tablet"/>
    <n v="2"/>
    <n v="37949.4"/>
    <n v="28495.43"/>
    <x v="2"/>
    <n v="9453.9699999999993"/>
    <s v="June"/>
    <x v="7"/>
    <n v="0.24912040770078048"/>
    <n v="3.5143074850007986E-4"/>
  </r>
  <r>
    <d v="2023-05-21T00:00:00"/>
    <x v="3"/>
    <s v="Chandigarh"/>
    <x v="2"/>
    <s v="Laptop"/>
    <n v="2"/>
    <n v="27100"/>
    <n v="16227.76"/>
    <x v="3"/>
    <n v="10872.24"/>
    <s v="May"/>
    <x v="6"/>
    <n v="0.40118966789667898"/>
    <n v="2.5095978551313493E-4"/>
  </r>
  <r>
    <d v="2023-03-17T00:00:00"/>
    <x v="1"/>
    <s v="Chennai"/>
    <x v="1"/>
    <s v="Wallet"/>
    <n v="5"/>
    <n v="10190"/>
    <n v="7390.73"/>
    <x v="3"/>
    <n v="2799.27"/>
    <s v="March"/>
    <x v="9"/>
    <n v="0.27470755642787048"/>
    <n v="9.4364583556414948E-5"/>
  </r>
  <r>
    <d v="2023-04-10T00:00:00"/>
    <x v="2"/>
    <s v="Ahmedabad"/>
    <x v="2"/>
    <s v="Tablet"/>
    <n v="1"/>
    <n v="11350.8"/>
    <n v="7612.13"/>
    <x v="2"/>
    <n v="3738.67"/>
    <s v="April"/>
    <x v="11"/>
    <n v="0.32937502202487934"/>
    <n v="1.051141820443724E-4"/>
  </r>
  <r>
    <d v="2023-11-10T00:00:00"/>
    <x v="2"/>
    <s v="Pune"/>
    <x v="2"/>
    <s v="Tablet"/>
    <n v="3"/>
    <n v="94972.5"/>
    <n v="52505.97"/>
    <x v="2"/>
    <n v="42466.53"/>
    <s v="November"/>
    <x v="0"/>
    <n v="0.44714554213061675"/>
    <n v="8.7949366161056122E-4"/>
  </r>
  <r>
    <d v="2023-06-17T00:00:00"/>
    <x v="3"/>
    <s v="Chandigarh"/>
    <x v="3"/>
    <s v="Chair"/>
    <n v="7"/>
    <n v="92679.3"/>
    <n v="62583.73"/>
    <x v="2"/>
    <n v="30095.57"/>
    <s v="June"/>
    <x v="7"/>
    <n v="0.3247280676483314"/>
    <n v="8.5825746308145715E-4"/>
  </r>
  <r>
    <d v="2023-05-27T00:00:00"/>
    <x v="0"/>
    <s v="Kolkata"/>
    <x v="2"/>
    <s v="Laptop"/>
    <n v="3"/>
    <n v="107680.8"/>
    <n v="85108.57"/>
    <x v="1"/>
    <n v="22572.23"/>
    <s v="May"/>
    <x v="6"/>
    <n v="0.20962167814503607"/>
    <n v="9.9717898420231669E-4"/>
  </r>
  <r>
    <d v="2023-01-02T00:00:00"/>
    <x v="2"/>
    <s v="Ahmedabad"/>
    <x v="0"/>
    <s v="Jeans"/>
    <n v="1"/>
    <n v="3596.35"/>
    <n v="2539.9499999999998"/>
    <x v="4"/>
    <n v="1056.4000000000001"/>
    <s v="January"/>
    <x v="10"/>
    <n v="0.29374226646460999"/>
    <n v="3.33040304291573E-5"/>
  </r>
  <r>
    <d v="2023-03-24T00:00:00"/>
    <x v="2"/>
    <s v="Pune"/>
    <x v="0"/>
    <s v="T-Shirt"/>
    <n v="5"/>
    <n v="198117"/>
    <n v="151097.91"/>
    <x v="2"/>
    <n v="47019.09"/>
    <s v="March"/>
    <x v="9"/>
    <n v="0.23732991111313009"/>
    <n v="1.8346642002400649E-3"/>
  </r>
  <r>
    <d v="2023-02-22T00:00:00"/>
    <x v="0"/>
    <s v="Patna"/>
    <x v="1"/>
    <s v="Wallet"/>
    <n v="4"/>
    <n v="165712"/>
    <n v="91961.69"/>
    <x v="3"/>
    <n v="73750.31"/>
    <s v="February"/>
    <x v="2"/>
    <n v="0.4450511127739693"/>
    <n v="1.5345774161237128E-3"/>
  </r>
  <r>
    <d v="2023-11-30T00:00:00"/>
    <x v="0"/>
    <s v="Kolkata"/>
    <x v="0"/>
    <s v="Shirt"/>
    <n v="1"/>
    <n v="16041.6"/>
    <n v="11761.3"/>
    <x v="1"/>
    <n v="4280.3"/>
    <s v="November"/>
    <x v="0"/>
    <n v="0.26682500498703371"/>
    <n v="1.4855337620987106E-4"/>
  </r>
  <r>
    <d v="2023-01-19T00:00:00"/>
    <x v="3"/>
    <s v="Chandigarh"/>
    <x v="1"/>
    <s v="Belt"/>
    <n v="1"/>
    <n v="28987.35"/>
    <n v="19079.23"/>
    <x v="0"/>
    <n v="9908.1200000000008"/>
    <s v="January"/>
    <x v="10"/>
    <n v="0.34180840953036418"/>
    <n v="2.6843760659019084E-4"/>
  </r>
  <r>
    <d v="2023-03-25T00:00:00"/>
    <x v="1"/>
    <s v="Bangalore"/>
    <x v="0"/>
    <s v="Jeans"/>
    <n v="6"/>
    <n v="99399"/>
    <n v="79073.14"/>
    <x v="4"/>
    <n v="20325.86"/>
    <s v="March"/>
    <x v="9"/>
    <n v="0.2044875702974879"/>
    <n v="9.2048530332915505E-4"/>
  </r>
  <r>
    <d v="2023-09-05T00:00:00"/>
    <x v="1"/>
    <s v="Hyderabad"/>
    <x v="0"/>
    <s v="Jacket"/>
    <n v="6"/>
    <n v="125506.8"/>
    <n v="93667.88"/>
    <x v="2"/>
    <n v="31838.92"/>
    <s v="September"/>
    <x v="3"/>
    <n v="0.25368282834077516"/>
    <n v="1.1622568121195545E-3"/>
  </r>
  <r>
    <d v="2023-07-21T00:00:00"/>
    <x v="2"/>
    <s v="Mumbai"/>
    <x v="1"/>
    <s v="Bag"/>
    <n v="7"/>
    <n v="197771"/>
    <n v="131029.05"/>
    <x v="0"/>
    <n v="66741.95"/>
    <s v="July"/>
    <x v="5"/>
    <n v="0.33747086276552174"/>
    <n v="1.8314600642331444E-3"/>
  </r>
  <r>
    <d v="2023-08-07T00:00:00"/>
    <x v="3"/>
    <s v="Chandigarh"/>
    <x v="3"/>
    <s v="Table"/>
    <n v="5"/>
    <n v="132085"/>
    <n v="97012.63"/>
    <x v="3"/>
    <n v="35072.370000000003"/>
    <s v="August"/>
    <x v="8"/>
    <n v="0.2655287882802741"/>
    <n v="1.2231742903875435E-3"/>
  </r>
  <r>
    <d v="2023-01-02T00:00:00"/>
    <x v="3"/>
    <s v="Jaipur"/>
    <x v="0"/>
    <s v="Jacket"/>
    <n v="2"/>
    <n v="46250"/>
    <n v="33995.620000000003"/>
    <x v="3"/>
    <n v="12254.38"/>
    <s v="January"/>
    <x v="10"/>
    <n v="0.26495956756756756"/>
    <n v="4.2829852693662332E-4"/>
  </r>
  <r>
    <d v="2023-08-18T00:00:00"/>
    <x v="2"/>
    <s v="Pune"/>
    <x v="3"/>
    <s v="Table"/>
    <n v="2"/>
    <n v="58827.6"/>
    <n v="33466.78"/>
    <x v="2"/>
    <n v="25360.82"/>
    <s v="August"/>
    <x v="8"/>
    <n v="0.4311041075957544"/>
    <n v="5.4477350104252759E-4"/>
  </r>
  <r>
    <d v="2023-11-05T00:00:00"/>
    <x v="2"/>
    <s v="Ahmedabad"/>
    <x v="2"/>
    <s v="Smartphone"/>
    <n v="4"/>
    <n v="107161.2"/>
    <n v="76312.3"/>
    <x v="2"/>
    <n v="30848.9"/>
    <s v="November"/>
    <x v="0"/>
    <n v="0.28787378267507274"/>
    <n v="9.9236722388672174E-4"/>
  </r>
  <r>
    <d v="2023-12-18T00:00:00"/>
    <x v="1"/>
    <s v="Chennai"/>
    <x v="0"/>
    <s v="Jeans"/>
    <n v="7"/>
    <n v="12009.9"/>
    <n v="7958.62"/>
    <x v="0"/>
    <n v="4051.28"/>
    <s v="December"/>
    <x v="4"/>
    <n v="0.33732837076078903"/>
    <n v="1.1121778332229519E-4"/>
  </r>
  <r>
    <d v="2023-03-24T00:00:00"/>
    <x v="2"/>
    <s v="Pune"/>
    <x v="2"/>
    <s v="Tablet"/>
    <n v="4"/>
    <n v="61404.800000000003"/>
    <n v="36445"/>
    <x v="1"/>
    <n v="24959.8"/>
    <s v="March"/>
    <x v="9"/>
    <n v="0.40647962374276925"/>
    <n v="5.6863968403973991E-4"/>
  </r>
  <r>
    <d v="2023-09-05T00:00:00"/>
    <x v="1"/>
    <s v="Bangalore"/>
    <x v="3"/>
    <s v="Chair"/>
    <n v="7"/>
    <n v="308334.59999999998"/>
    <n v="237648.42"/>
    <x v="2"/>
    <n v="70686.179999999993"/>
    <s v="September"/>
    <x v="3"/>
    <n v="0.22925153388559052"/>
    <n v="2.8553352428884967E-3"/>
  </r>
  <r>
    <d v="2023-03-09T00:00:00"/>
    <x v="1"/>
    <s v="Chennai"/>
    <x v="3"/>
    <s v="Chair"/>
    <n v="5"/>
    <n v="208715"/>
    <n v="115596.54"/>
    <x v="3"/>
    <n v="93118.46"/>
    <s v="March"/>
    <x v="9"/>
    <n v="0.44615125889370677"/>
    <n v="1.9328070713422127E-3"/>
  </r>
  <r>
    <d v="2023-08-25T00:00:00"/>
    <x v="0"/>
    <s v="Kolkata"/>
    <x v="2"/>
    <s v="Headphones"/>
    <n v="3"/>
    <n v="6897"/>
    <n v="4481.3900000000003"/>
    <x v="0"/>
    <n v="2415.61"/>
    <s v="August"/>
    <x v="8"/>
    <n v="0.35024068435551692"/>
    <n v="6.3869728438527374E-5"/>
  </r>
  <r>
    <d v="2023-10-10T00:00:00"/>
    <x v="1"/>
    <s v="Chennai"/>
    <x v="1"/>
    <s v="Wallet"/>
    <n v="6"/>
    <n v="53202"/>
    <n v="35885.29"/>
    <x v="3"/>
    <n v="17316.71"/>
    <s v="October"/>
    <x v="1"/>
    <n v="0.32548983120935304"/>
    <n v="4.9267758335312932E-4"/>
  </r>
  <r>
    <d v="2023-03-14T00:00:00"/>
    <x v="1"/>
    <s v="Chennai"/>
    <x v="0"/>
    <s v="Shirt"/>
    <n v="3"/>
    <n v="75321.899999999994"/>
    <n v="49607.07"/>
    <x v="4"/>
    <n v="25714.83"/>
    <s v="March"/>
    <x v="9"/>
    <n v="0.34139911499842679"/>
    <n v="6.9751910953659774E-4"/>
  </r>
  <r>
    <d v="2023-06-19T00:00:00"/>
    <x v="0"/>
    <s v="Patna"/>
    <x v="0"/>
    <s v="Shirt"/>
    <n v="4"/>
    <n v="163137.60000000001"/>
    <n v="115733.41"/>
    <x v="2"/>
    <n v="47404.19"/>
    <s v="June"/>
    <x v="7"/>
    <n v="0.29057795382548229"/>
    <n v="1.5107371625508342E-3"/>
  </r>
  <r>
    <d v="2023-03-04T00:00:00"/>
    <x v="1"/>
    <s v="Bangalore"/>
    <x v="1"/>
    <s v="Belt"/>
    <n v="1"/>
    <n v="37624.400000000001"/>
    <n v="20822.71"/>
    <x v="4"/>
    <n v="16801.689999999999"/>
    <s v="March"/>
    <x v="9"/>
    <n v="0.44656366613155285"/>
    <n v="3.4842108317566033E-4"/>
  </r>
  <r>
    <d v="2023-03-02T00:00:00"/>
    <x v="3"/>
    <s v="Delhi"/>
    <x v="3"/>
    <s v="Chair"/>
    <n v="3"/>
    <n v="15786.15"/>
    <n v="8929.14"/>
    <x v="0"/>
    <n v="6857.01"/>
    <s v="March"/>
    <x v="9"/>
    <n v="0.43436873461863723"/>
    <n v="1.4618777926487731E-4"/>
  </r>
  <r>
    <d v="2023-05-18T00:00:00"/>
    <x v="1"/>
    <s v="Hyderabad"/>
    <x v="3"/>
    <s v="Table"/>
    <n v="1"/>
    <n v="20244.5"/>
    <n v="13018.23"/>
    <x v="0"/>
    <n v="7226.27"/>
    <s v="May"/>
    <x v="6"/>
    <n v="0.3569497888315345"/>
    <n v="1.8747436818526423E-4"/>
  </r>
  <r>
    <d v="2023-12-24T00:00:00"/>
    <x v="1"/>
    <s v="Chennai"/>
    <x v="0"/>
    <s v="Jacket"/>
    <n v="4"/>
    <n v="25952"/>
    <n v="19378.16"/>
    <x v="1"/>
    <n v="6573.84"/>
    <s v="December"/>
    <x v="4"/>
    <n v="0.25330764488286067"/>
    <n v="2.4032872153641617E-4"/>
  </r>
  <r>
    <d v="2023-07-28T00:00:00"/>
    <x v="3"/>
    <s v="Jaipur"/>
    <x v="1"/>
    <s v="Belt"/>
    <n v="6"/>
    <n v="167243.4"/>
    <n v="124209.27"/>
    <x v="2"/>
    <n v="43034.13"/>
    <s v="July"/>
    <x v="5"/>
    <n v="0.25731436935627955"/>
    <n v="1.5487589591323776E-3"/>
  </r>
  <r>
    <d v="2023-12-19T00:00:00"/>
    <x v="3"/>
    <s v="Delhi"/>
    <x v="3"/>
    <s v="Sofa"/>
    <n v="1"/>
    <n v="17178"/>
    <n v="13163.47"/>
    <x v="3"/>
    <n v="4014.53"/>
    <s v="December"/>
    <x v="4"/>
    <n v="0.23370182791943184"/>
    <n v="1.590770182857798E-4"/>
  </r>
  <r>
    <d v="2023-05-03T00:00:00"/>
    <x v="1"/>
    <s v="Bangalore"/>
    <x v="2"/>
    <s v="Smartphone"/>
    <n v="3"/>
    <n v="86604"/>
    <n v="66549.17"/>
    <x v="1"/>
    <n v="20054.830000000002"/>
    <s v="May"/>
    <x v="6"/>
    <n v="0.23156932705186831"/>
    <n v="8.0199709463393137E-4"/>
  </r>
  <r>
    <d v="2023-12-01T00:00:00"/>
    <x v="2"/>
    <s v="Pune"/>
    <x v="3"/>
    <s v="Cupboard"/>
    <n v="4"/>
    <n v="97828.2"/>
    <n v="57336.81"/>
    <x v="4"/>
    <n v="40491.39"/>
    <s v="December"/>
    <x v="4"/>
    <n v="0.41390304636086528"/>
    <n v="9.0593889627808366E-4"/>
  </r>
  <r>
    <d v="2023-07-24T00:00:00"/>
    <x v="2"/>
    <s v="Pune"/>
    <x v="3"/>
    <s v="Sofa"/>
    <n v="6"/>
    <n v="60755.4"/>
    <n v="42511.24"/>
    <x v="2"/>
    <n v="18244.16"/>
    <s v="July"/>
    <x v="5"/>
    <n v="0.30028869861773605"/>
    <n v="5.6262590969611518E-4"/>
  </r>
  <r>
    <d v="2023-05-09T00:00:00"/>
    <x v="2"/>
    <s v="Pune"/>
    <x v="1"/>
    <s v="Belt"/>
    <n v="5"/>
    <n v="127470.25"/>
    <n v="76801.759999999995"/>
    <x v="4"/>
    <n v="50668.49"/>
    <s v="May"/>
    <x v="6"/>
    <n v="0.39749266985826104"/>
    <n v="1.1804393579079591E-3"/>
  </r>
  <r>
    <d v="2023-12-07T00:00:00"/>
    <x v="0"/>
    <s v="Bhubaneswar"/>
    <x v="3"/>
    <s v="Table"/>
    <n v="2"/>
    <n v="83160"/>
    <n v="64948.52"/>
    <x v="3"/>
    <n v="18211.48"/>
    <s v="December"/>
    <x v="4"/>
    <n v="0.21899326599326599"/>
    <n v="7.7010390270377497E-4"/>
  </r>
  <r>
    <d v="2023-04-19T00:00:00"/>
    <x v="2"/>
    <s v="Mumbai"/>
    <x v="2"/>
    <s v="Laptop"/>
    <n v="2"/>
    <n v="77540.800000000003"/>
    <n v="57123.85"/>
    <x v="1"/>
    <n v="20416.95"/>
    <s v="April"/>
    <x v="11"/>
    <n v="0.26330589831417783"/>
    <n v="7.180672522699962E-4"/>
  </r>
  <r>
    <d v="2023-11-08T00:00:00"/>
    <x v="0"/>
    <s v="Bhubaneswar"/>
    <x v="0"/>
    <s v="Shirt"/>
    <n v="5"/>
    <n v="142217.75"/>
    <n v="87106.84"/>
    <x v="4"/>
    <n v="55110.91"/>
    <s v="November"/>
    <x v="0"/>
    <n v="0.38751077133480177"/>
    <n v="1.3170087098214262E-3"/>
  </r>
  <r>
    <d v="2023-08-25T00:00:00"/>
    <x v="1"/>
    <s v="Hyderabad"/>
    <x v="2"/>
    <s v="Laptop"/>
    <n v="5"/>
    <n v="114703.25"/>
    <n v="88110.33"/>
    <x v="4"/>
    <n v="26592.92"/>
    <s v="August"/>
    <x v="8"/>
    <n v="0.23184103327499436"/>
    <n v="1.0622104434560701E-3"/>
  </r>
  <r>
    <d v="2023-11-10T00:00:00"/>
    <x v="0"/>
    <s v="Patna"/>
    <x v="1"/>
    <s v="Belt"/>
    <n v="5"/>
    <n v="126573.25"/>
    <n v="81434.7"/>
    <x v="0"/>
    <n v="45138.55"/>
    <s v="November"/>
    <x v="0"/>
    <n v="0.35661998092013913"/>
    <n v="1.1721326816125613E-3"/>
  </r>
  <r>
    <d v="2023-02-08T00:00:00"/>
    <x v="0"/>
    <s v="Kolkata"/>
    <x v="2"/>
    <s v="Laptop"/>
    <n v="5"/>
    <n v="2862"/>
    <n v="2167.16"/>
    <x v="2"/>
    <n v="694.84"/>
    <s v="February"/>
    <x v="2"/>
    <n v="0.24278127183787562"/>
    <n v="2.6503575872272777E-5"/>
  </r>
  <r>
    <d v="2023-11-09T00:00:00"/>
    <x v="1"/>
    <s v="Bangalore"/>
    <x v="3"/>
    <s v="Chair"/>
    <n v="2"/>
    <n v="66708"/>
    <n v="42439.32"/>
    <x v="3"/>
    <n v="24268.68"/>
    <s v="November"/>
    <x v="0"/>
    <n v="0.36380464112250405"/>
    <n v="6.1775001372731391E-4"/>
  </r>
  <r>
    <d v="2023-04-22T00:00:00"/>
    <x v="0"/>
    <s v="Patna"/>
    <x v="2"/>
    <s v="Laptop"/>
    <n v="7"/>
    <n v="12320"/>
    <n v="8999.5400000000009"/>
    <x v="1"/>
    <n v="3320.46"/>
    <s v="April"/>
    <x v="11"/>
    <n v="0.26951785714285714"/>
    <n v="1.1408946706722593E-4"/>
  </r>
  <r>
    <d v="2023-01-18T00:00:00"/>
    <x v="0"/>
    <s v="Kolkata"/>
    <x v="2"/>
    <s v="Tablet"/>
    <n v="5"/>
    <n v="85716"/>
    <n v="62838.42"/>
    <x v="1"/>
    <n v="22877.58"/>
    <s v="January"/>
    <x v="10"/>
    <n v="0.2668997620047599"/>
    <n v="7.9377376291674823E-4"/>
  </r>
  <r>
    <d v="2023-05-02T00:00:00"/>
    <x v="1"/>
    <s v="Chennai"/>
    <x v="3"/>
    <s v="Chair"/>
    <n v="6"/>
    <n v="227772"/>
    <n v="166980.44"/>
    <x v="2"/>
    <n v="60791.56"/>
    <s v="May"/>
    <x v="6"/>
    <n v="0.26689654566847548"/>
    <n v="2.1092845854574823E-3"/>
  </r>
  <r>
    <d v="2023-01-11T00:00:00"/>
    <x v="1"/>
    <s v="Hyderabad"/>
    <x v="1"/>
    <s v="Belt"/>
    <n v="4"/>
    <n v="119380"/>
    <n v="71982.990000000005"/>
    <x v="3"/>
    <n v="47397.01"/>
    <s v="January"/>
    <x v="10"/>
    <n v="0.39702638632936843"/>
    <n v="1.1055195274744668E-3"/>
  </r>
  <r>
    <d v="2023-06-01T00:00:00"/>
    <x v="1"/>
    <s v="Hyderabad"/>
    <x v="0"/>
    <s v="Jacket"/>
    <n v="6"/>
    <n v="174798"/>
    <n v="110807.67999999999"/>
    <x v="2"/>
    <n v="63990.32"/>
    <s v="June"/>
    <x v="7"/>
    <n v="0.36608153411366262"/>
    <n v="1.6187183980857921E-3"/>
  </r>
  <r>
    <d v="2023-11-26T00:00:00"/>
    <x v="2"/>
    <s v="Ahmedabad"/>
    <x v="2"/>
    <s v="Laptop"/>
    <n v="7"/>
    <n v="141708"/>
    <n v="97102.04"/>
    <x v="3"/>
    <n v="44605.96"/>
    <s v="November"/>
    <x v="0"/>
    <n v="0.31477376012645719"/>
    <n v="1.3122881655164328E-3"/>
  </r>
  <r>
    <d v="2023-09-03T00:00:00"/>
    <x v="2"/>
    <s v="Ahmedabad"/>
    <x v="3"/>
    <s v="Chair"/>
    <n v="5"/>
    <n v="123599.75"/>
    <n v="80709.34"/>
    <x v="0"/>
    <n v="42890.41"/>
    <s v="September"/>
    <x v="3"/>
    <n v="0.3470104915260751"/>
    <n v="1.1445965590212953E-3"/>
  </r>
  <r>
    <d v="2023-11-13T00:00:00"/>
    <x v="3"/>
    <s v="Chandigarh"/>
    <x v="2"/>
    <s v="Headphones"/>
    <n v="7"/>
    <n v="234304"/>
    <n v="157903.54"/>
    <x v="3"/>
    <n v="76400.460000000006"/>
    <s v="November"/>
    <x v="0"/>
    <n v="0.3260740747063644"/>
    <n v="2.1697742282239694E-3"/>
  </r>
  <r>
    <d v="2023-11-01T00:00:00"/>
    <x v="3"/>
    <s v="Jaipur"/>
    <x v="1"/>
    <s v="Wallet"/>
    <n v="2"/>
    <n v="10656"/>
    <n v="6904.71"/>
    <x v="1"/>
    <n v="3751.29"/>
    <s v="November"/>
    <x v="0"/>
    <n v="0.352035472972973"/>
    <n v="9.8679980606198017E-5"/>
  </r>
  <r>
    <d v="2023-01-17T00:00:00"/>
    <x v="0"/>
    <s v="Bhubaneswar"/>
    <x v="3"/>
    <s v="Chair"/>
    <n v="7"/>
    <n v="181272"/>
    <n v="100520.95"/>
    <x v="3"/>
    <n v="80751.05"/>
    <s v="January"/>
    <x v="10"/>
    <n v="0.44546896376715656"/>
    <n v="1.6786709313482287E-3"/>
  </r>
  <r>
    <d v="2023-10-09T00:00:00"/>
    <x v="0"/>
    <s v="Kolkata"/>
    <x v="0"/>
    <s v="T-Shirt"/>
    <n v="3"/>
    <n v="97540.800000000003"/>
    <n v="68971.740000000005"/>
    <x v="1"/>
    <n v="28569.06"/>
    <s v="October"/>
    <x v="1"/>
    <n v="0.29289343536243295"/>
    <n v="9.0327742608042785E-4"/>
  </r>
  <r>
    <d v="2023-04-28T00:00:00"/>
    <x v="2"/>
    <s v="Mumbai"/>
    <x v="3"/>
    <s v="Cupboard"/>
    <n v="1"/>
    <n v="33772"/>
    <n v="22670.25"/>
    <x v="3"/>
    <n v="11101.75"/>
    <s v="April"/>
    <x v="11"/>
    <n v="0.32872645978917447"/>
    <n v="3.1274589949629495E-4"/>
  </r>
  <r>
    <d v="2023-05-19T00:00:00"/>
    <x v="3"/>
    <s v="Jaipur"/>
    <x v="3"/>
    <s v="Chair"/>
    <n v="3"/>
    <n v="114975"/>
    <n v="88604.33"/>
    <x v="3"/>
    <n v="26370.67"/>
    <s v="May"/>
    <x v="6"/>
    <n v="0.22936003479017175"/>
    <n v="1.0647269866927193E-3"/>
  </r>
  <r>
    <d v="2023-01-22T00:00:00"/>
    <x v="3"/>
    <s v="Chandigarh"/>
    <x v="3"/>
    <s v="Chair"/>
    <n v="2"/>
    <n v="83489.8"/>
    <n v="47317.29"/>
    <x v="0"/>
    <n v="36172.51"/>
    <s v="January"/>
    <x v="10"/>
    <n v="0.43325663733773467"/>
    <n v="7.7315801846990911E-4"/>
  </r>
  <r>
    <d v="2023-06-22T00:00:00"/>
    <x v="1"/>
    <s v="Hyderabad"/>
    <x v="2"/>
    <s v="Headphones"/>
    <n v="4"/>
    <n v="87743.8"/>
    <n v="62480.56"/>
    <x v="4"/>
    <n v="25263.24"/>
    <s v="June"/>
    <x v="7"/>
    <n v="0.28792051404201779"/>
    <n v="8.125522224393879E-4"/>
  </r>
  <r>
    <d v="2023-05-03T00:00:00"/>
    <x v="1"/>
    <s v="Chennai"/>
    <x v="2"/>
    <s v="Laptop"/>
    <n v="6"/>
    <n v="14698.2"/>
    <n v="11748.21"/>
    <x v="4"/>
    <n v="2949.99"/>
    <s v="May"/>
    <x v="6"/>
    <n v="0.20070416785728862"/>
    <n v="1.3611280883502438E-4"/>
  </r>
  <r>
    <d v="2023-05-12T00:00:00"/>
    <x v="1"/>
    <s v="Bangalore"/>
    <x v="0"/>
    <s v="Jacket"/>
    <n v="3"/>
    <n v="127637.1"/>
    <n v="92748.59"/>
    <x v="2"/>
    <n v="34888.51"/>
    <s v="May"/>
    <x v="6"/>
    <n v="0.27334145009562266"/>
    <n v="1.1819844737829726E-3"/>
  </r>
  <r>
    <d v="2023-09-13T00:00:00"/>
    <x v="0"/>
    <s v="Bhubaneswar"/>
    <x v="3"/>
    <s v="Sofa"/>
    <n v="3"/>
    <n v="23020.2"/>
    <n v="17445.669999999998"/>
    <x v="2"/>
    <n v="5574.53"/>
    <s v="September"/>
    <x v="3"/>
    <n v="0.24215819150137705"/>
    <n v="2.1317876215754501E-4"/>
  </r>
  <r>
    <d v="2023-02-17T00:00:00"/>
    <x v="3"/>
    <s v="Delhi"/>
    <x v="1"/>
    <s v="Belt"/>
    <n v="4"/>
    <n v="58844.800000000003"/>
    <n v="33889.879999999997"/>
    <x v="1"/>
    <n v="24954.92"/>
    <s v="February"/>
    <x v="2"/>
    <n v="0.42408029256620799"/>
    <n v="5.4493278179200465E-4"/>
  </r>
  <r>
    <d v="2023-11-10T00:00:00"/>
    <x v="3"/>
    <s v="Delhi"/>
    <x v="3"/>
    <s v="Table"/>
    <n v="5"/>
    <n v="15756"/>
    <n v="10045.25"/>
    <x v="1"/>
    <n v="5710.75"/>
    <s v="November"/>
    <x v="0"/>
    <n v="0.36244922569179994"/>
    <n v="1.459085749278581E-4"/>
  </r>
  <r>
    <d v="2023-03-12T00:00:00"/>
    <x v="2"/>
    <s v="Mumbai"/>
    <x v="0"/>
    <s v="T-Shirt"/>
    <n v="3"/>
    <n v="63125.25"/>
    <n v="46432.62"/>
    <x v="4"/>
    <n v="16692.63"/>
    <s v="March"/>
    <x v="9"/>
    <n v="0.26443665569641311"/>
    <n v="5.8457192621634774E-4"/>
  </r>
  <r>
    <d v="2023-08-03T00:00:00"/>
    <x v="2"/>
    <s v="Mumbai"/>
    <x v="0"/>
    <s v="Shirt"/>
    <n v="6"/>
    <n v="206568"/>
    <n v="160515.14000000001"/>
    <x v="0"/>
    <n v="46052.86"/>
    <s v="August"/>
    <x v="8"/>
    <n v="0.22294285658959762"/>
    <n v="1.9129247591836629E-3"/>
  </r>
  <r>
    <d v="2023-03-03T00:00:00"/>
    <x v="0"/>
    <s v="Bhubaneswar"/>
    <x v="2"/>
    <s v="Headphones"/>
    <n v="2"/>
    <n v="1582.4"/>
    <n v="1084.5999999999999"/>
    <x v="1"/>
    <n v="497.8"/>
    <s v="March"/>
    <x v="9"/>
    <n v="0.3145854398382204"/>
    <n v="1.4653828951881357E-5"/>
  </r>
  <r>
    <d v="2023-08-25T00:00:00"/>
    <x v="1"/>
    <s v="Chennai"/>
    <x v="2"/>
    <s v="Laptop"/>
    <n v="3"/>
    <n v="89966.7"/>
    <n v="53651.03"/>
    <x v="2"/>
    <n v="36315.67"/>
    <s v="August"/>
    <x v="8"/>
    <n v="0.40365679745950445"/>
    <n v="8.3313740720754824E-4"/>
  </r>
  <r>
    <d v="2023-12-02T00:00:00"/>
    <x v="0"/>
    <s v="Patna"/>
    <x v="3"/>
    <s v="Table"/>
    <n v="4"/>
    <n v="143170.6"/>
    <n v="105436.32"/>
    <x v="4"/>
    <n v="37734.28"/>
    <s v="December"/>
    <x v="4"/>
    <n v="0.26356165302094142"/>
    <n v="1.3258325855271898E-3"/>
  </r>
  <r>
    <d v="2023-03-03T00:00:00"/>
    <x v="3"/>
    <s v="Chandigarh"/>
    <x v="3"/>
    <s v="Table"/>
    <n v="4"/>
    <n v="129675"/>
    <n v="102394.55"/>
    <x v="0"/>
    <n v="27280.45"/>
    <s v="March"/>
    <x v="9"/>
    <n v="0.21037555427029112"/>
    <n v="1.2008564644433865E-3"/>
  </r>
  <r>
    <d v="2023-06-22T00:00:00"/>
    <x v="1"/>
    <s v="Bangalore"/>
    <x v="0"/>
    <s v="Jacket"/>
    <n v="6"/>
    <n v="61084.800000000003"/>
    <n v="38552.32"/>
    <x v="1"/>
    <n v="22532.48"/>
    <s v="June"/>
    <x v="7"/>
    <n v="0.36887212530776886"/>
    <n v="5.6567632125877293E-4"/>
  </r>
  <r>
    <d v="2023-03-15T00:00:00"/>
    <x v="2"/>
    <s v="Mumbai"/>
    <x v="3"/>
    <s v="Table"/>
    <n v="5"/>
    <n v="6043.5"/>
    <n v="4568.53"/>
    <x v="4"/>
    <n v="1474.97"/>
    <s v="March"/>
    <x v="9"/>
    <n v="0.24405890626292712"/>
    <n v="5.5965884271167198E-5"/>
  </r>
  <r>
    <d v="2023-12-06T00:00:00"/>
    <x v="0"/>
    <s v="Kolkata"/>
    <x v="0"/>
    <s v="Jacket"/>
    <n v="4"/>
    <n v="83405.399999999994"/>
    <n v="62004.88"/>
    <x v="4"/>
    <n v="21400.52"/>
    <s v="December"/>
    <x v="4"/>
    <n v="0.25658434585770229"/>
    <n v="7.7237643153642895E-4"/>
  </r>
  <r>
    <d v="2023-06-12T00:00:00"/>
    <x v="2"/>
    <s v="Mumbai"/>
    <x v="1"/>
    <s v="Wallet"/>
    <n v="1"/>
    <n v="3398.4"/>
    <n v="2616.08"/>
    <x v="1"/>
    <n v="782.32"/>
    <s v="June"/>
    <x v="7"/>
    <n v="0.23020244821092278"/>
    <n v="3.1470912733868556E-5"/>
  </r>
  <r>
    <d v="2023-07-06T00:00:00"/>
    <x v="0"/>
    <s v="Kolkata"/>
    <x v="1"/>
    <s v="Wallet"/>
    <n v="6"/>
    <n v="203742"/>
    <n v="157794.06"/>
    <x v="3"/>
    <n v="45947.94"/>
    <s v="July"/>
    <x v="5"/>
    <n v="0.22552021674470654"/>
    <n v="1.8867545616242489E-3"/>
  </r>
  <r>
    <d v="2023-11-27T00:00:00"/>
    <x v="2"/>
    <s v="Ahmedabad"/>
    <x v="2"/>
    <s v="Tablet"/>
    <n v="5"/>
    <n v="139654.75"/>
    <n v="106307.69"/>
    <x v="0"/>
    <n v="33347.06"/>
    <s v="November"/>
    <x v="0"/>
    <n v="0.23878213952622449"/>
    <n v="1.2932740260476194E-3"/>
  </r>
  <r>
    <d v="2023-10-26T00:00:00"/>
    <x v="3"/>
    <s v="Chandigarh"/>
    <x v="2"/>
    <s v="Headphones"/>
    <n v="6"/>
    <n v="194416.2"/>
    <n v="155479.14000000001"/>
    <x v="2"/>
    <n v="38937.06"/>
    <s v="October"/>
    <x v="1"/>
    <n v="0.2002768287827866"/>
    <n v="1.8003929096781827E-3"/>
  </r>
  <r>
    <d v="2023-06-12T00:00:00"/>
    <x v="3"/>
    <s v="Jaipur"/>
    <x v="0"/>
    <s v="Shirt"/>
    <n v="5"/>
    <n v="124114.5"/>
    <n v="99218.01"/>
    <x v="2"/>
    <n v="24896.49"/>
    <s v="June"/>
    <x v="7"/>
    <n v="0.20059292024702996"/>
    <n v="1.1493634058697413E-3"/>
  </r>
  <r>
    <d v="2023-10-31T00:00:00"/>
    <x v="0"/>
    <s v="Bhubaneswar"/>
    <x v="1"/>
    <s v="Watch"/>
    <n v="5"/>
    <n v="153501.5"/>
    <n v="118645.56"/>
    <x v="4"/>
    <n v="34855.94"/>
    <s v="October"/>
    <x v="1"/>
    <n v="0.22707230873965403"/>
    <n v="1.421501974758099E-3"/>
  </r>
  <r>
    <d v="2023-12-22T00:00:00"/>
    <x v="3"/>
    <s v="Jaipur"/>
    <x v="3"/>
    <s v="Table"/>
    <n v="7"/>
    <n v="292393.84999999998"/>
    <n v="212435.72"/>
    <x v="0"/>
    <n v="79958.13"/>
    <s v="December"/>
    <x v="4"/>
    <n v="0.27346036860898409"/>
    <n v="2.7077157889800647E-3"/>
  </r>
  <r>
    <d v="2023-07-16T00:00:00"/>
    <x v="2"/>
    <s v="Ahmedabad"/>
    <x v="0"/>
    <s v="Shirt"/>
    <n v="3"/>
    <n v="66131.100000000006"/>
    <n v="51886.69"/>
    <x v="2"/>
    <n v="14244.41"/>
    <s v="July"/>
    <x v="5"/>
    <n v="0.21539653808873585"/>
    <n v="6.1240762626375205E-4"/>
  </r>
  <r>
    <d v="2023-01-19T00:00:00"/>
    <x v="3"/>
    <s v="Delhi"/>
    <x v="3"/>
    <s v="Sofa"/>
    <n v="1"/>
    <n v="26668"/>
    <n v="18923.09"/>
    <x v="1"/>
    <n v="7744.91"/>
    <s v="January"/>
    <x v="10"/>
    <n v="0.29041960401979899"/>
    <n v="2.4695924575882962E-4"/>
  </r>
  <r>
    <d v="2023-05-19T00:00:00"/>
    <x v="0"/>
    <s v="Patna"/>
    <x v="3"/>
    <s v="Chair"/>
    <n v="3"/>
    <n v="104390.1"/>
    <n v="80077.929999999993"/>
    <x v="2"/>
    <n v="24312.17"/>
    <s v="May"/>
    <x v="6"/>
    <n v="0.23289727665746079"/>
    <n v="9.6670542825441738E-4"/>
  </r>
  <r>
    <d v="2023-05-29T00:00:00"/>
    <x v="1"/>
    <s v="Chennai"/>
    <x v="0"/>
    <s v="Shirt"/>
    <n v="5"/>
    <n v="16929"/>
    <n v="11297.08"/>
    <x v="2"/>
    <n v="5631.92"/>
    <s v="May"/>
    <x v="6"/>
    <n v="0.33267883513497548"/>
    <n v="1.5677115162183991E-4"/>
  </r>
  <r>
    <d v="2023-01-14T00:00:00"/>
    <x v="2"/>
    <s v="Pune"/>
    <x v="1"/>
    <s v="Bag"/>
    <n v="1"/>
    <n v="2309.4499999999998"/>
    <n v="1812.88"/>
    <x v="4"/>
    <n v="496.57"/>
    <s v="January"/>
    <x v="10"/>
    <n v="0.21501656238498346"/>
    <n v="2.1386681795325073E-5"/>
  </r>
  <r>
    <d v="2023-03-16T00:00:00"/>
    <x v="0"/>
    <s v="Bhubaneswar"/>
    <x v="2"/>
    <s v="Smartphone"/>
    <n v="3"/>
    <n v="134366.1"/>
    <n v="77598.55"/>
    <x v="0"/>
    <n v="56767.55"/>
    <s v="March"/>
    <x v="9"/>
    <n v="0.42248416825374852"/>
    <n v="1.2442984367614924E-3"/>
  </r>
  <r>
    <d v="2023-12-05T00:00:00"/>
    <x v="3"/>
    <s v="Delhi"/>
    <x v="0"/>
    <s v="T-Shirt"/>
    <n v="3"/>
    <n v="98262"/>
    <n v="69978.240000000005"/>
    <x v="3"/>
    <n v="28283.759999999998"/>
    <s v="December"/>
    <x v="4"/>
    <n v="0.28784026378457589"/>
    <n v="9.0995610494803199E-4"/>
  </r>
  <r>
    <d v="2023-08-30T00:00:00"/>
    <x v="3"/>
    <s v="Jaipur"/>
    <x v="1"/>
    <s v="Watch"/>
    <n v="7"/>
    <n v="104119.05"/>
    <n v="58367.64"/>
    <x v="4"/>
    <n v="45751.41"/>
    <s v="August"/>
    <x v="8"/>
    <n v="0.43941440111103591"/>
    <n v="9.6419536737385144E-4"/>
  </r>
  <r>
    <d v="2023-02-28T00:00:00"/>
    <x v="0"/>
    <s v="Kolkata"/>
    <x v="2"/>
    <s v="Smartphone"/>
    <n v="6"/>
    <n v="256129.5"/>
    <n v="190759.01"/>
    <x v="0"/>
    <n v="65370.49"/>
    <s v="February"/>
    <x v="2"/>
    <n v="0.25522436892275197"/>
    <n v="2.3718894606489485E-3"/>
  </r>
  <r>
    <d v="2023-03-31T00:00:00"/>
    <x v="0"/>
    <s v="Bhubaneswar"/>
    <x v="1"/>
    <s v="Wallet"/>
    <n v="6"/>
    <n v="27685.8"/>
    <n v="19650.22"/>
    <x v="2"/>
    <n v="8035.58"/>
    <s v="March"/>
    <x v="9"/>
    <n v="0.29024192907555496"/>
    <n v="2.5638459150404249E-4"/>
  </r>
  <r>
    <d v="2023-01-26T00:00:00"/>
    <x v="1"/>
    <s v="Bangalore"/>
    <x v="2"/>
    <s v="Smartphone"/>
    <n v="5"/>
    <n v="123595"/>
    <n v="96444.5"/>
    <x v="0"/>
    <n v="27150.5"/>
    <s v="January"/>
    <x v="10"/>
    <n v="0.21967312593551519"/>
    <n v="1.1445525716050153E-3"/>
  </r>
  <r>
    <d v="2023-05-08T00:00:00"/>
    <x v="0"/>
    <s v="Bhubaneswar"/>
    <x v="3"/>
    <s v="Cupboard"/>
    <n v="5"/>
    <n v="217792.25"/>
    <n v="124390.16"/>
    <x v="0"/>
    <n v="93402.09"/>
    <s v="May"/>
    <x v="6"/>
    <n v="0.42885864855154393"/>
    <n v="2.0168670238532495E-3"/>
  </r>
  <r>
    <d v="2023-06-04T00:00:00"/>
    <x v="2"/>
    <s v="Ahmedabad"/>
    <x v="1"/>
    <s v="Bag"/>
    <n v="6"/>
    <n v="109200"/>
    <n v="86709.9"/>
    <x v="1"/>
    <n v="22490.1"/>
    <s v="June"/>
    <x v="7"/>
    <n v="0.20595329670329668"/>
    <n v="1.011247549004957E-3"/>
  </r>
  <r>
    <d v="2023-10-20T00:00:00"/>
    <x v="3"/>
    <s v="Jaipur"/>
    <x v="1"/>
    <s v="Wallet"/>
    <n v="7"/>
    <n v="190688.4"/>
    <n v="114439.4"/>
    <x v="2"/>
    <n v="76249"/>
    <s v="October"/>
    <x v="1"/>
    <n v="0.39986176400871792"/>
    <n v="1.7658715853816561E-3"/>
  </r>
  <r>
    <d v="2023-10-03T00:00:00"/>
    <x v="1"/>
    <s v="Bangalore"/>
    <x v="0"/>
    <s v="Jacket"/>
    <n v="7"/>
    <n v="87696"/>
    <n v="49600.73"/>
    <x v="1"/>
    <n v="38095.269999999997"/>
    <s v="October"/>
    <x v="1"/>
    <n v="0.434401455026455"/>
    <n v="8.1210957012398089E-4"/>
  </r>
  <r>
    <d v="2023-12-16T00:00:00"/>
    <x v="2"/>
    <s v="Ahmedabad"/>
    <x v="2"/>
    <s v="Tablet"/>
    <n v="4"/>
    <n v="54928"/>
    <n v="41917.58"/>
    <x v="3"/>
    <n v="13010.42"/>
    <s v="December"/>
    <x v="4"/>
    <n v="0.23686316632682786"/>
    <n v="5.0866122135296958E-4"/>
  </r>
  <r>
    <d v="2023-09-08T00:00:00"/>
    <x v="3"/>
    <s v="Jaipur"/>
    <x v="3"/>
    <s v="Sofa"/>
    <n v="2"/>
    <n v="39013.300000000003"/>
    <n v="23097.03"/>
    <x v="4"/>
    <n v="15916.27"/>
    <s v="September"/>
    <x v="3"/>
    <n v="0.40797035882634897"/>
    <n v="3.6128300369592578E-4"/>
  </r>
  <r>
    <d v="2023-03-25T00:00:00"/>
    <x v="2"/>
    <s v="Pune"/>
    <x v="3"/>
    <s v="Cupboard"/>
    <n v="2"/>
    <n v="54649.9"/>
    <n v="36047.85"/>
    <x v="4"/>
    <n v="18602.05"/>
    <s v="March"/>
    <x v="9"/>
    <n v="0.34038580125489704"/>
    <n v="5.0608587388613563E-4"/>
  </r>
  <r>
    <d v="2023-04-03T00:00:00"/>
    <x v="0"/>
    <s v="Kolkata"/>
    <x v="3"/>
    <s v="Chair"/>
    <n v="4"/>
    <n v="38862"/>
    <n v="24543.82"/>
    <x v="2"/>
    <n v="14318.18"/>
    <s v="April"/>
    <x v="11"/>
    <n v="0.36843651896454122"/>
    <n v="3.5988188873104985E-4"/>
  </r>
  <r>
    <d v="2023-03-27T00:00:00"/>
    <x v="1"/>
    <s v="Chennai"/>
    <x v="0"/>
    <s v="Shirt"/>
    <n v="1"/>
    <n v="15232"/>
    <n v="9179.2099999999991"/>
    <x v="4"/>
    <n v="6052.79"/>
    <s v="March"/>
    <x v="9"/>
    <n v="0.39737329306722691"/>
    <n v="1.4105606837402478E-4"/>
  </r>
  <r>
    <d v="2023-01-11T00:00:00"/>
    <x v="2"/>
    <s v="Ahmedabad"/>
    <x v="3"/>
    <s v="Cupboard"/>
    <n v="6"/>
    <n v="110089.8"/>
    <n v="83374.149999999994"/>
    <x v="0"/>
    <n v="26715.65"/>
    <s v="January"/>
    <x v="10"/>
    <n v="0.24267143731753532"/>
    <n v="1.0194875496377833E-3"/>
  </r>
  <r>
    <d v="2023-08-26T00:00:00"/>
    <x v="2"/>
    <s v="Pune"/>
    <x v="1"/>
    <s v="Bag"/>
    <n v="5"/>
    <n v="227026.25"/>
    <n v="153555.38"/>
    <x v="0"/>
    <n v="73470.87"/>
    <s v="August"/>
    <x v="8"/>
    <n v="0.32362279692326323"/>
    <n v="2.1023785611015262E-3"/>
  </r>
  <r>
    <d v="2023-08-11T00:00:00"/>
    <x v="2"/>
    <s v="Ahmedabad"/>
    <x v="1"/>
    <s v="Wallet"/>
    <n v="4"/>
    <n v="188100"/>
    <n v="124228.13"/>
    <x v="3"/>
    <n v="63871.87"/>
    <s v="August"/>
    <x v="8"/>
    <n v="0.33956337054758107"/>
    <n v="1.7419016846871101E-3"/>
  </r>
  <r>
    <d v="2023-03-30T00:00:00"/>
    <x v="0"/>
    <s v="Patna"/>
    <x v="2"/>
    <s v="Tablet"/>
    <n v="2"/>
    <n v="83370"/>
    <n v="49828.71"/>
    <x v="3"/>
    <n v="33541.29"/>
    <s v="March"/>
    <x v="9"/>
    <n v="0.40231845987765386"/>
    <n v="7.7204860952878455E-4"/>
  </r>
  <r>
    <d v="2023-11-15T00:00:00"/>
    <x v="2"/>
    <s v="Pune"/>
    <x v="0"/>
    <s v="Shirt"/>
    <n v="1"/>
    <n v="21281.9"/>
    <n v="13375.01"/>
    <x v="0"/>
    <n v="7906.89"/>
    <s v="November"/>
    <x v="0"/>
    <n v="0.37153120727002759"/>
    <n v="1.9708121990081134E-4"/>
  </r>
  <r>
    <d v="2023-03-23T00:00:00"/>
    <x v="0"/>
    <s v="Bhubaneswar"/>
    <x v="2"/>
    <s v="Laptop"/>
    <n v="1"/>
    <n v="17866.150000000001"/>
    <n v="9897.06"/>
    <x v="4"/>
    <n v="7969.09"/>
    <s v="March"/>
    <x v="9"/>
    <n v="0.44604405537846709"/>
    <n v="1.6544963734116224E-4"/>
  </r>
  <r>
    <d v="2023-08-15T00:00:00"/>
    <x v="3"/>
    <s v="Delhi"/>
    <x v="0"/>
    <s v="Shirt"/>
    <n v="4"/>
    <n v="61601.2"/>
    <n v="39446.39"/>
    <x v="4"/>
    <n v="22154.81"/>
    <s v="August"/>
    <x v="8"/>
    <n v="0.35964900034414921"/>
    <n v="5.7045844794655824E-4"/>
  </r>
  <r>
    <d v="2023-11-14T00:00:00"/>
    <x v="2"/>
    <s v="Pune"/>
    <x v="1"/>
    <s v="Belt"/>
    <n v="7"/>
    <n v="285005.7"/>
    <n v="211078.57"/>
    <x v="2"/>
    <n v="73927.13"/>
    <s v="November"/>
    <x v="0"/>
    <n v="0.2593882508314746"/>
    <n v="2.6392977616981877E-3"/>
  </r>
  <r>
    <d v="2023-07-07T00:00:00"/>
    <x v="2"/>
    <s v="Mumbai"/>
    <x v="2"/>
    <s v="Laptop"/>
    <n v="1"/>
    <n v="1576.8"/>
    <n v="1157.47"/>
    <x v="2"/>
    <n v="419.33"/>
    <s v="July"/>
    <x v="5"/>
    <n v="0.26593734145104009"/>
    <n v="1.4601970103214435E-5"/>
  </r>
  <r>
    <d v="2023-07-06T00:00:00"/>
    <x v="1"/>
    <s v="Chennai"/>
    <x v="0"/>
    <s v="Jeans"/>
    <n v="4"/>
    <n v="92092"/>
    <n v="67724.52"/>
    <x v="3"/>
    <n v="24367.48"/>
    <s v="July"/>
    <x v="5"/>
    <n v="0.26459931372974849"/>
    <n v="8.5281876632751379E-4"/>
  </r>
  <r>
    <d v="2023-08-25T00:00:00"/>
    <x v="1"/>
    <s v="Hyderabad"/>
    <x v="3"/>
    <s v="Cupboard"/>
    <n v="4"/>
    <n v="60969.599999999999"/>
    <n v="36866.94"/>
    <x v="2"/>
    <n v="24102.66"/>
    <s v="August"/>
    <x v="8"/>
    <n v="0.39532258699417416"/>
    <n v="5.6460951065762479E-4"/>
  </r>
  <r>
    <d v="2023-02-01T00:00:00"/>
    <x v="1"/>
    <s v="Chennai"/>
    <x v="1"/>
    <s v="Bag"/>
    <n v="5"/>
    <n v="36775"/>
    <n v="27449.26"/>
    <x v="3"/>
    <n v="9325.74"/>
    <s v="February"/>
    <x v="2"/>
    <n v="0.25358912304554726"/>
    <n v="3.4055520709393129E-4"/>
  </r>
  <r>
    <d v="2023-12-15T00:00:00"/>
    <x v="0"/>
    <s v="Patna"/>
    <x v="0"/>
    <s v="Shirt"/>
    <n v="3"/>
    <n v="23229"/>
    <n v="17012.13"/>
    <x v="3"/>
    <n v="6216.87"/>
    <s v="December"/>
    <x v="4"/>
    <n v="0.26763399199276766"/>
    <n v="2.151123563721259E-4"/>
  </r>
  <r>
    <d v="2023-01-13T00:00:00"/>
    <x v="0"/>
    <s v="Kolkata"/>
    <x v="3"/>
    <s v="Cupboard"/>
    <n v="1"/>
    <n v="21928"/>
    <n v="16852.060000000001"/>
    <x v="1"/>
    <n v="5075.9399999999996"/>
    <s v="January"/>
    <x v="10"/>
    <n v="0.2314821233126596"/>
    <n v="2.0306443456575733E-4"/>
  </r>
  <r>
    <d v="2023-09-30T00:00:00"/>
    <x v="3"/>
    <s v="Jaipur"/>
    <x v="3"/>
    <s v="Table"/>
    <n v="1"/>
    <n v="35474.75"/>
    <n v="26164.99"/>
    <x v="4"/>
    <n v="9309.76"/>
    <s v="September"/>
    <x v="3"/>
    <n v="0.26243342095434075"/>
    <n v="3.2851423066908059E-4"/>
  </r>
  <r>
    <d v="2023-07-06T00:00:00"/>
    <x v="2"/>
    <s v="Pune"/>
    <x v="1"/>
    <s v="Bag"/>
    <n v="3"/>
    <n v="56937.599999999999"/>
    <n v="34705.550000000003"/>
    <x v="2"/>
    <n v="22232.05"/>
    <s v="July"/>
    <x v="5"/>
    <n v="0.39046341960321473"/>
    <n v="5.2727113961744179E-4"/>
  </r>
  <r>
    <d v="2023-01-02T00:00:00"/>
    <x v="3"/>
    <s v="Jaipur"/>
    <x v="2"/>
    <s v="Laptop"/>
    <n v="4"/>
    <n v="19494.400000000001"/>
    <n v="11474.85"/>
    <x v="1"/>
    <n v="8019.55"/>
    <s v="January"/>
    <x v="10"/>
    <n v="0.41137711342744582"/>
    <n v="1.8052806061650401E-4"/>
  </r>
  <r>
    <d v="2023-08-09T00:00:00"/>
    <x v="1"/>
    <s v="Chennai"/>
    <x v="0"/>
    <s v="T-Shirt"/>
    <n v="6"/>
    <n v="6576"/>
    <n v="4881.7700000000004"/>
    <x v="1"/>
    <n v="1694.23"/>
    <s v="August"/>
    <x v="8"/>
    <n v="0.25763838199513384"/>
    <n v="6.0897105148869941E-5"/>
  </r>
  <r>
    <d v="2023-12-03T00:00:00"/>
    <x v="1"/>
    <s v="Chennai"/>
    <x v="3"/>
    <s v="Chair"/>
    <n v="3"/>
    <n v="74822.399999999994"/>
    <n v="42002.54"/>
    <x v="1"/>
    <n v="32819.86"/>
    <s v="December"/>
    <x v="4"/>
    <n v="0.4386368253357284"/>
    <n v="6.9289348544568222E-4"/>
  </r>
  <r>
    <d v="2023-02-22T00:00:00"/>
    <x v="2"/>
    <s v="Ahmedabad"/>
    <x v="1"/>
    <s v="Belt"/>
    <n v="1"/>
    <n v="30801.85"/>
    <n v="22897.73"/>
    <x v="0"/>
    <n v="7904.12"/>
    <s v="February"/>
    <x v="2"/>
    <n v="0.25661185935260383"/>
    <n v="2.8524079960914227E-4"/>
  </r>
  <r>
    <d v="2023-11-27T00:00:00"/>
    <x v="0"/>
    <s v="Patna"/>
    <x v="2"/>
    <s v="Laptop"/>
    <n v="4"/>
    <n v="143856"/>
    <n v="107748.41"/>
    <x v="3"/>
    <n v="36107.589999999997"/>
    <s v="November"/>
    <x v="0"/>
    <n v="0.25099815092870648"/>
    <n v="1.3321797381836732E-3"/>
  </r>
  <r>
    <d v="2023-03-13T00:00:00"/>
    <x v="1"/>
    <s v="Bangalore"/>
    <x v="1"/>
    <s v="Belt"/>
    <n v="4"/>
    <n v="58841.599999999999"/>
    <n v="34004.46"/>
    <x v="1"/>
    <n v="24837.14"/>
    <s v="March"/>
    <x v="9"/>
    <n v="0.42210171035457905"/>
    <n v="5.449031481641949E-4"/>
  </r>
  <r>
    <d v="2023-05-19T00:00:00"/>
    <x v="0"/>
    <s v="Patna"/>
    <x v="1"/>
    <s v="Watch"/>
    <n v="3"/>
    <n v="104227.35"/>
    <n v="67541.759999999995"/>
    <x v="0"/>
    <n v="36685.589999999997"/>
    <s v="May"/>
    <x v="6"/>
    <n v="0.3519766165022904"/>
    <n v="9.65198280465035E-4"/>
  </r>
  <r>
    <d v="2023-12-07T00:00:00"/>
    <x v="0"/>
    <s v="Bhubaneswar"/>
    <x v="0"/>
    <s v="T-Shirt"/>
    <n v="1"/>
    <n v="41726.85"/>
    <n v="30016.14"/>
    <x v="0"/>
    <n v="11710.71"/>
    <s v="December"/>
    <x v="4"/>
    <n v="0.28065166673257147"/>
    <n v="3.8641185705309058E-4"/>
  </r>
  <r>
    <d v="2023-11-06T00:00:00"/>
    <x v="2"/>
    <s v="Ahmedabad"/>
    <x v="1"/>
    <s v="Bag"/>
    <n v="6"/>
    <n v="65918.399999999994"/>
    <n v="48605.36"/>
    <x v="1"/>
    <n v="17313.04"/>
    <s v="November"/>
    <x v="0"/>
    <n v="0.26264351076482445"/>
    <n v="6.1043791606527802E-4"/>
  </r>
  <r>
    <d v="2023-03-04T00:00:00"/>
    <x v="2"/>
    <s v="Mumbai"/>
    <x v="2"/>
    <s v="Tablet"/>
    <n v="3"/>
    <n v="81786"/>
    <n v="51774.74"/>
    <x v="3"/>
    <n v="30011.26"/>
    <s v="March"/>
    <x v="9"/>
    <n v="0.36694862201354755"/>
    <n v="7.5737996376299831E-4"/>
  </r>
  <r>
    <d v="2023-01-28T00:00:00"/>
    <x v="2"/>
    <s v="Ahmedabad"/>
    <x v="0"/>
    <s v="Shirt"/>
    <n v="3"/>
    <n v="26246.7"/>
    <n v="15697.56"/>
    <x v="2"/>
    <n v="10549.14"/>
    <s v="January"/>
    <x v="10"/>
    <n v="0.40192252740344497"/>
    <n v="2.4305779344751291E-4"/>
  </r>
  <r>
    <d v="2023-06-13T00:00:00"/>
    <x v="1"/>
    <s v="Chennai"/>
    <x v="0"/>
    <s v="T-Shirt"/>
    <n v="3"/>
    <n v="93545.55"/>
    <n v="72800.210000000006"/>
    <x v="0"/>
    <n v="20745.34"/>
    <s v="June"/>
    <x v="7"/>
    <n v="0.22176725670007819"/>
    <n v="8.6627937873462154E-4"/>
  </r>
  <r>
    <d v="2023-03-24T00:00:00"/>
    <x v="1"/>
    <s v="Bangalore"/>
    <x v="1"/>
    <s v="Bag"/>
    <n v="1"/>
    <n v="30977.4"/>
    <n v="21859.9"/>
    <x v="4"/>
    <n v="9117.5"/>
    <s v="March"/>
    <x v="9"/>
    <n v="0.29432747745130322"/>
    <n v="2.8686648190976338E-4"/>
  </r>
  <r>
    <d v="2023-10-31T00:00:00"/>
    <x v="1"/>
    <s v="Hyderabad"/>
    <x v="3"/>
    <s v="Cupboard"/>
    <n v="3"/>
    <n v="16173"/>
    <n v="9254.9599999999991"/>
    <x v="3"/>
    <n v="6918.04"/>
    <s v="October"/>
    <x v="1"/>
    <n v="0.42775242688431336"/>
    <n v="1.497702070518056E-4"/>
  </r>
  <r>
    <d v="2023-07-03T00:00:00"/>
    <x v="2"/>
    <s v="Mumbai"/>
    <x v="0"/>
    <s v="Shirt"/>
    <n v="2"/>
    <n v="82455.100000000006"/>
    <n v="48749.2"/>
    <x v="4"/>
    <n v="33705.9"/>
    <s v="July"/>
    <x v="5"/>
    <n v="0.40877883842236562"/>
    <n v="7.635761701278264E-4"/>
  </r>
  <r>
    <d v="2023-03-08T00:00:00"/>
    <x v="2"/>
    <s v="Ahmedabad"/>
    <x v="1"/>
    <s v="Belt"/>
    <n v="6"/>
    <n v="68928"/>
    <n v="53647.23"/>
    <x v="3"/>
    <n v="15280.77"/>
    <s v="March"/>
    <x v="9"/>
    <n v="0.22169176532033427"/>
    <n v="6.3830834302027177E-4"/>
  </r>
  <r>
    <d v="2023-01-10T00:00:00"/>
    <x v="1"/>
    <s v="Chennai"/>
    <x v="3"/>
    <s v="Table"/>
    <n v="1"/>
    <n v="8497.4500000000007"/>
    <n v="6275.09"/>
    <x v="4"/>
    <n v="2222.36"/>
    <s v="January"/>
    <x v="10"/>
    <n v="0.26153257742028491"/>
    <n v="7.869070957227265E-5"/>
  </r>
  <r>
    <d v="2023-04-15T00:00:00"/>
    <x v="0"/>
    <s v="Bhubaneswar"/>
    <x v="1"/>
    <s v="Watch"/>
    <n v="3"/>
    <n v="60714"/>
    <n v="33497.1"/>
    <x v="3"/>
    <n v="27216.9"/>
    <s v="April"/>
    <x v="11"/>
    <n v="0.44828046249629411"/>
    <n v="5.6224252463632756E-4"/>
  </r>
  <r>
    <d v="2023-05-12T00:00:00"/>
    <x v="3"/>
    <s v="Chandigarh"/>
    <x v="0"/>
    <s v="Jeans"/>
    <n v="7"/>
    <n v="128225.3"/>
    <n v="99232.37"/>
    <x v="0"/>
    <n v="28992.93"/>
    <s v="May"/>
    <x v="6"/>
    <n v="0.22610927796620481"/>
    <n v="1.1874315049947375E-3"/>
  </r>
  <r>
    <d v="2023-12-06T00:00:00"/>
    <x v="0"/>
    <s v="Bhubaneswar"/>
    <x v="1"/>
    <s v="Watch"/>
    <n v="6"/>
    <n v="144055.79999999999"/>
    <n v="91551.34"/>
    <x v="2"/>
    <n v="52504.46"/>
    <s v="December"/>
    <x v="4"/>
    <n v="0.36447307224006253"/>
    <n v="1.3340299878200393E-3"/>
  </r>
  <r>
    <d v="2023-05-23T00:00:00"/>
    <x v="3"/>
    <s v="Chandigarh"/>
    <x v="2"/>
    <s v="Smartphone"/>
    <n v="5"/>
    <n v="121669"/>
    <n v="75676.460000000006"/>
    <x v="4"/>
    <n v="45992.54"/>
    <s v="May"/>
    <x v="6"/>
    <n v="0.37801362713591796"/>
    <n v="1.1267168318670707E-3"/>
  </r>
  <r>
    <d v="2023-03-11T00:00:00"/>
    <x v="1"/>
    <s v="Chennai"/>
    <x v="3"/>
    <s v="Cupboard"/>
    <n v="7"/>
    <n v="184807"/>
    <n v="109239.67"/>
    <x v="3"/>
    <n v="75567.33"/>
    <s v="March"/>
    <x v="9"/>
    <n v="0.40889863479197219"/>
    <n v="1.7114068295692225E-3"/>
  </r>
  <r>
    <d v="2023-05-29T00:00:00"/>
    <x v="3"/>
    <s v="Jaipur"/>
    <x v="1"/>
    <s v="Wallet"/>
    <n v="7"/>
    <n v="249483.5"/>
    <n v="173479.42"/>
    <x v="4"/>
    <n v="76004.08"/>
    <s v="May"/>
    <x v="6"/>
    <n v="0.30464571805349855"/>
    <n v="2.3103441198917417E-3"/>
  </r>
  <r>
    <d v="2023-06-29T00:00:00"/>
    <x v="2"/>
    <s v="Ahmedabad"/>
    <x v="3"/>
    <s v="Cupboard"/>
    <n v="7"/>
    <n v="288915.90000000002"/>
    <n v="199393.85"/>
    <x v="0"/>
    <n v="89522.05"/>
    <s v="June"/>
    <x v="7"/>
    <n v="0.30985504778380141"/>
    <n v="2.6755082027798654E-3"/>
  </r>
  <r>
    <d v="2023-08-25T00:00:00"/>
    <x v="3"/>
    <s v="Jaipur"/>
    <x v="0"/>
    <s v="T-Shirt"/>
    <n v="5"/>
    <n v="139936"/>
    <n v="81117.72"/>
    <x v="1"/>
    <n v="58818.28"/>
    <s v="August"/>
    <x v="8"/>
    <n v="0.42032271895723761"/>
    <n v="1.2958785441168285E-3"/>
  </r>
  <r>
    <d v="2023-11-03T00:00:00"/>
    <x v="1"/>
    <s v="Bangalore"/>
    <x v="2"/>
    <s v="Laptop"/>
    <n v="3"/>
    <n v="92127"/>
    <n v="66785.289999999994"/>
    <x v="3"/>
    <n v="25341.71"/>
    <s v="November"/>
    <x v="0"/>
    <n v="0.27507364833327907"/>
    <n v="8.5314288413168202E-4"/>
  </r>
  <r>
    <d v="2023-08-08T00:00:00"/>
    <x v="1"/>
    <s v="Hyderabad"/>
    <x v="1"/>
    <s v="Wallet"/>
    <n v="4"/>
    <n v="17122.8"/>
    <n v="12797.12"/>
    <x v="0"/>
    <n v="4325.68"/>
    <s v="August"/>
    <x v="8"/>
    <n v="0.25262690681430611"/>
    <n v="1.5856583820606299E-4"/>
  </r>
  <r>
    <d v="2023-06-11T00:00:00"/>
    <x v="1"/>
    <s v="Chennai"/>
    <x v="2"/>
    <s v="Tablet"/>
    <n v="7"/>
    <n v="178735.2"/>
    <n v="109031.63"/>
    <x v="1"/>
    <n v="69703.570000000007"/>
    <s v="June"/>
    <x v="7"/>
    <n v="0.38998233140422256"/>
    <n v="1.6551788729021136E-3"/>
  </r>
  <r>
    <d v="2023-11-17T00:00:00"/>
    <x v="0"/>
    <s v="Bhubaneswar"/>
    <x v="1"/>
    <s v="Watch"/>
    <n v="4"/>
    <n v="68899.199999999997"/>
    <n v="48470.080000000002"/>
    <x v="1"/>
    <n v="20429.12"/>
    <s v="November"/>
    <x v="0"/>
    <n v="0.29650736147879803"/>
    <n v="6.3804164036998479E-4"/>
  </r>
  <r>
    <d v="2023-04-09T00:00:00"/>
    <x v="3"/>
    <s v="Jaipur"/>
    <x v="3"/>
    <s v="Table"/>
    <n v="2"/>
    <n v="42768"/>
    <n v="24339.69"/>
    <x v="3"/>
    <n v="18428.310000000001"/>
    <s v="April"/>
    <x v="11"/>
    <n v="0.43089015151515153"/>
    <n v="3.9605343567622713E-4"/>
  </r>
  <r>
    <d v="2023-09-19T00:00:00"/>
    <x v="3"/>
    <s v="Chandigarh"/>
    <x v="0"/>
    <s v="T-Shirt"/>
    <n v="1"/>
    <n v="9348"/>
    <n v="5978.83"/>
    <x v="3"/>
    <n v="3369.17"/>
    <s v="September"/>
    <x v="3"/>
    <n v="0.36041613179289689"/>
    <n v="8.6567235238995776E-5"/>
  </r>
  <r>
    <d v="2023-08-29T00:00:00"/>
    <x v="0"/>
    <s v="Patna"/>
    <x v="3"/>
    <s v="Sofa"/>
    <n v="5"/>
    <n v="184840"/>
    <n v="119434.88"/>
    <x v="1"/>
    <n v="65405.120000000003"/>
    <s v="August"/>
    <x v="8"/>
    <n v="0.35384721921661977"/>
    <n v="1.7117124263560097E-3"/>
  </r>
  <r>
    <d v="2023-11-01T00:00:00"/>
    <x v="0"/>
    <s v="Kolkata"/>
    <x v="1"/>
    <s v="Belt"/>
    <n v="4"/>
    <n v="93366.399999999994"/>
    <n v="73146.73"/>
    <x v="1"/>
    <n v="20219.669999999998"/>
    <s v="November"/>
    <x v="0"/>
    <n v="0.21656259639442027"/>
    <n v="8.6462035860271444E-4"/>
  </r>
  <r>
    <d v="2023-07-17T00:00:00"/>
    <x v="0"/>
    <s v="Kolkata"/>
    <x v="3"/>
    <s v="Table"/>
    <n v="7"/>
    <n v="296164.40000000002"/>
    <n v="193080.54"/>
    <x v="0"/>
    <n v="103083.86"/>
    <s v="July"/>
    <x v="5"/>
    <n v="0.34806296773008505"/>
    <n v="2.7426330000231113E-3"/>
  </r>
  <r>
    <d v="2023-02-13T00:00:00"/>
    <x v="0"/>
    <s v="Patna"/>
    <x v="3"/>
    <s v="Cupboard"/>
    <n v="1"/>
    <n v="4694.3999999999996"/>
    <n v="2844.79"/>
    <x v="1"/>
    <n v="1849.61"/>
    <s v="February"/>
    <x v="2"/>
    <n v="0.39400349352419906"/>
    <n v="4.3472531996784522E-5"/>
  </r>
  <r>
    <d v="2023-04-10T00:00:00"/>
    <x v="0"/>
    <s v="Bhubaneswar"/>
    <x v="0"/>
    <s v="Jacket"/>
    <n v="3"/>
    <n v="39744.300000000003"/>
    <n v="28748.400000000001"/>
    <x v="4"/>
    <n v="10995.9"/>
    <s v="April"/>
    <x v="11"/>
    <n v="0.27666608796733111"/>
    <n v="3.6805243554869705E-4"/>
  </r>
  <r>
    <d v="2023-02-19T00:00:00"/>
    <x v="0"/>
    <s v="Patna"/>
    <x v="1"/>
    <s v="Wallet"/>
    <n v="5"/>
    <n v="117040"/>
    <n v="90684.36"/>
    <x v="3"/>
    <n v="26355.64"/>
    <s v="February"/>
    <x v="2"/>
    <n v="0.2251848940533151"/>
    <n v="1.0838499371386464E-3"/>
  </r>
  <r>
    <d v="2023-08-27T00:00:00"/>
    <x v="3"/>
    <s v="Jaipur"/>
    <x v="1"/>
    <s v="Wallet"/>
    <n v="5"/>
    <n v="193716"/>
    <n v="109939.07"/>
    <x v="1"/>
    <n v="83776.929999999993"/>
    <s v="August"/>
    <x v="8"/>
    <n v="0.43247295009188708"/>
    <n v="1.7939087014930794E-3"/>
  </r>
  <r>
    <d v="2023-12-18T00:00:00"/>
    <x v="1"/>
    <s v="Hyderabad"/>
    <x v="1"/>
    <s v="Wallet"/>
    <n v="6"/>
    <n v="68155.199999999997"/>
    <n v="41235.410000000003"/>
    <x v="1"/>
    <n v="26919.79"/>
    <s v="December"/>
    <x v="4"/>
    <n v="0.39497778599431888"/>
    <n v="6.3115182190423666E-4"/>
  </r>
  <r>
    <d v="2023-02-14T00:00:00"/>
    <x v="3"/>
    <s v="Chandigarh"/>
    <x v="0"/>
    <s v="Jacket"/>
    <n v="6"/>
    <n v="158257.79999999999"/>
    <n v="97421.25"/>
    <x v="2"/>
    <n v="60836.55"/>
    <s v="February"/>
    <x v="2"/>
    <n v="0.3844142279243109"/>
    <n v="1.4655477322428269E-3"/>
  </r>
  <r>
    <d v="2023-10-13T00:00:00"/>
    <x v="1"/>
    <s v="Hyderabad"/>
    <x v="1"/>
    <s v="Wallet"/>
    <n v="3"/>
    <n v="106778.1"/>
    <n v="67179.09"/>
    <x v="0"/>
    <n v="39599.01"/>
    <s v="October"/>
    <x v="1"/>
    <n v="0.37085329295052077"/>
    <n v="9.88819523007383E-4"/>
  </r>
  <r>
    <d v="2023-04-08T00:00:00"/>
    <x v="1"/>
    <s v="Chennai"/>
    <x v="3"/>
    <s v="Table"/>
    <n v="5"/>
    <n v="66976"/>
    <n v="43504.73"/>
    <x v="1"/>
    <n v="23471.27"/>
    <s v="April"/>
    <x v="11"/>
    <n v="0.35044299450549449"/>
    <n v="6.2023183005637363E-4"/>
  </r>
  <r>
    <d v="2023-04-18T00:00:00"/>
    <x v="0"/>
    <s v="Patna"/>
    <x v="2"/>
    <s v="Tablet"/>
    <n v="5"/>
    <n v="52672.75"/>
    <n v="32092.78"/>
    <x v="0"/>
    <n v="20579.97"/>
    <s v="April"/>
    <x v="11"/>
    <n v="0.39071379413453827"/>
    <n v="4.8777645912867083E-4"/>
  </r>
  <r>
    <d v="2023-08-17T00:00:00"/>
    <x v="2"/>
    <s v="Mumbai"/>
    <x v="0"/>
    <s v="Jeans"/>
    <n v="2"/>
    <n v="38191.9"/>
    <n v="25914.12"/>
    <x v="0"/>
    <n v="12277.78"/>
    <s v="August"/>
    <x v="8"/>
    <n v="0.32147601978429979"/>
    <n v="3.5367642185753136E-4"/>
  </r>
  <r>
    <d v="2023-10-26T00:00:00"/>
    <x v="1"/>
    <s v="Chennai"/>
    <x v="1"/>
    <s v="Wallet"/>
    <n v="3"/>
    <n v="35731.800000000003"/>
    <n v="27053.33"/>
    <x v="2"/>
    <n v="8678.4699999999993"/>
    <s v="October"/>
    <x v="1"/>
    <n v="0.24287805260300344"/>
    <n v="3.3089464442797922E-4"/>
  </r>
  <r>
    <d v="2023-10-18T00:00:00"/>
    <x v="3"/>
    <s v="Jaipur"/>
    <x v="1"/>
    <s v="Watch"/>
    <n v="1"/>
    <n v="33950.400000000001"/>
    <n v="25948.22"/>
    <x v="1"/>
    <n v="8002.18"/>
    <s v="October"/>
    <x v="1"/>
    <n v="0.23570208303878598"/>
    <n v="3.1439797424668404E-4"/>
  </r>
  <r>
    <d v="2023-11-12T00:00:00"/>
    <x v="1"/>
    <s v="Bangalore"/>
    <x v="1"/>
    <s v="Bag"/>
    <n v="7"/>
    <n v="185441.9"/>
    <n v="103187.74"/>
    <x v="0"/>
    <n v="82254.16"/>
    <s v="November"/>
    <x v="0"/>
    <n v="0.44355757787209904"/>
    <n v="1.7172863265368346E-3"/>
  </r>
  <r>
    <d v="2023-10-06T00:00:00"/>
    <x v="2"/>
    <s v="Ahmedabad"/>
    <x v="3"/>
    <s v="Chair"/>
    <n v="2"/>
    <n v="85888.8"/>
    <n v="67391.14"/>
    <x v="2"/>
    <n v="18497.66"/>
    <s v="October"/>
    <x v="1"/>
    <n v="0.21536754501168953"/>
    <n v="7.9537397881847033E-4"/>
  </r>
  <r>
    <d v="2023-01-30T00:00:00"/>
    <x v="1"/>
    <s v="Hyderabad"/>
    <x v="2"/>
    <s v="Tablet"/>
    <n v="5"/>
    <n v="206864.5"/>
    <n v="142036.19"/>
    <x v="4"/>
    <n v="64828.31"/>
    <s v="January"/>
    <x v="10"/>
    <n v="0.3133853802851625"/>
    <n v="1.9156705000104024E-3"/>
  </r>
  <r>
    <d v="2023-11-10T00:00:00"/>
    <x v="3"/>
    <s v="Chandigarh"/>
    <x v="2"/>
    <s v="Headphones"/>
    <n v="7"/>
    <n v="132867"/>
    <n v="102904.32000000001"/>
    <x v="0"/>
    <n v="29962.68"/>
    <s v="November"/>
    <x v="0"/>
    <n v="0.22550881708776446"/>
    <n v="1.2304160081835313E-3"/>
  </r>
  <r>
    <d v="2023-08-14T00:00:00"/>
    <x v="1"/>
    <s v="Hyderabad"/>
    <x v="0"/>
    <s v="T-Shirt"/>
    <n v="1"/>
    <n v="23789.7"/>
    <n v="16667.36"/>
    <x v="2"/>
    <n v="7122.34"/>
    <s v="August"/>
    <x v="8"/>
    <n v="0.29938755007419177"/>
    <n v="2.2030472359490136E-4"/>
  </r>
  <r>
    <d v="2023-07-28T00:00:00"/>
    <x v="1"/>
    <s v="Hyderabad"/>
    <x v="0"/>
    <s v="Jacket"/>
    <n v="5"/>
    <n v="28192"/>
    <n v="17652.439999999999"/>
    <x v="1"/>
    <n v="10539.56"/>
    <s v="July"/>
    <x v="5"/>
    <n v="0.37384931895573209"/>
    <n v="2.610722610031845E-4"/>
  </r>
  <r>
    <d v="2023-11-27T00:00:00"/>
    <x v="2"/>
    <s v="Pune"/>
    <x v="1"/>
    <s v="Bag"/>
    <n v="4"/>
    <n v="181351.2"/>
    <n v="141767.51"/>
    <x v="0"/>
    <n v="39583.69"/>
    <s v="November"/>
    <x v="0"/>
    <n v="0.2182709019846574"/>
    <n v="1.6794043636365183E-3"/>
  </r>
  <r>
    <d v="2023-12-30T00:00:00"/>
    <x v="2"/>
    <s v="Mumbai"/>
    <x v="0"/>
    <s v="Jeans"/>
    <n v="3"/>
    <n v="25302.3"/>
    <n v="19905.04"/>
    <x v="0"/>
    <n v="5397.26"/>
    <s v="December"/>
    <x v="4"/>
    <n v="0.21331104286962058"/>
    <n v="2.343121690401843E-4"/>
  </r>
  <r>
    <d v="2023-09-03T00:00:00"/>
    <x v="0"/>
    <s v="Bhubaneswar"/>
    <x v="0"/>
    <s v="Shirt"/>
    <n v="2"/>
    <n v="28830.3"/>
    <n v="18723.009999999998"/>
    <x v="4"/>
    <n v="10107.290000000001"/>
    <s v="September"/>
    <x v="3"/>
    <n v="0.35057873140411305"/>
    <n v="2.6698324370034445E-4"/>
  </r>
  <r>
    <d v="2023-09-11T00:00:00"/>
    <x v="1"/>
    <s v="Chennai"/>
    <x v="0"/>
    <s v="Jacket"/>
    <n v="3"/>
    <n v="13224.3"/>
    <n v="8682.15"/>
    <x v="4"/>
    <n v="4542.1499999999996"/>
    <s v="September"/>
    <x v="3"/>
    <n v="0.34346997572650345"/>
    <n v="1.224637450760646E-4"/>
  </r>
  <r>
    <d v="2023-11-21T00:00:00"/>
    <x v="0"/>
    <s v="Kolkata"/>
    <x v="0"/>
    <s v="T-Shirt"/>
    <n v="1"/>
    <n v="18151.75"/>
    <n v="13692.34"/>
    <x v="4"/>
    <n v="4459.41"/>
    <s v="November"/>
    <x v="0"/>
    <n v="0.24567383310149157"/>
    <n v="1.680944386231752E-4"/>
  </r>
  <r>
    <d v="2023-06-29T00:00:00"/>
    <x v="1"/>
    <s v="Chennai"/>
    <x v="2"/>
    <s v="Tablet"/>
    <n v="4"/>
    <n v="62593.599999999999"/>
    <n v="44798.18"/>
    <x v="0"/>
    <n v="17795.419999999998"/>
    <s v="June"/>
    <x v="7"/>
    <n v="0.28430095089593821"/>
    <n v="5.7964857677103186E-4"/>
  </r>
  <r>
    <d v="2023-10-02T00:00:00"/>
    <x v="2"/>
    <s v="Mumbai"/>
    <x v="2"/>
    <s v="Laptop"/>
    <n v="3"/>
    <n v="11429.1"/>
    <n v="8268.4"/>
    <x v="4"/>
    <n v="3160.7"/>
    <s v="October"/>
    <x v="1"/>
    <n v="0.27654845963374192"/>
    <n v="1.0583927987484025E-4"/>
  </r>
  <r>
    <d v="2023-10-08T00:00:00"/>
    <x v="3"/>
    <s v="Chandigarh"/>
    <x v="2"/>
    <s v="Headphones"/>
    <n v="5"/>
    <n v="103538.5"/>
    <n v="71115.8"/>
    <x v="4"/>
    <n v="32422.7"/>
    <s v="October"/>
    <x v="1"/>
    <n v="0.31314631755337385"/>
    <n v="9.5881917905356914E-4"/>
  </r>
  <r>
    <d v="2023-12-22T00:00:00"/>
    <x v="1"/>
    <s v="Hyderabad"/>
    <x v="1"/>
    <s v="Bag"/>
    <n v="6"/>
    <n v="27468.3"/>
    <n v="15496.79"/>
    <x v="0"/>
    <n v="11971.51"/>
    <s v="December"/>
    <x v="4"/>
    <n v="0.43583002952494332"/>
    <n v="2.5437043086385405E-4"/>
  </r>
  <r>
    <d v="2023-06-29T00:00:00"/>
    <x v="1"/>
    <s v="Bangalore"/>
    <x v="0"/>
    <s v="Jacket"/>
    <n v="2"/>
    <n v="67662.399999999994"/>
    <n v="43047.12"/>
    <x v="1"/>
    <n v="24615.279999999999"/>
    <s v="June"/>
    <x v="7"/>
    <n v="0.36379554967012701"/>
    <n v="6.2658824322154769E-4"/>
  </r>
  <r>
    <d v="2023-04-26T00:00:00"/>
    <x v="2"/>
    <s v="Ahmedabad"/>
    <x v="1"/>
    <s v="Watch"/>
    <n v="7"/>
    <n v="203049"/>
    <n v="144576.22"/>
    <x v="2"/>
    <n v="58472.78"/>
    <s v="April"/>
    <x v="11"/>
    <n v="0.28797374032868911"/>
    <n v="1.8803370291017173E-3"/>
  </r>
  <r>
    <d v="2023-01-05T00:00:00"/>
    <x v="0"/>
    <s v="Bhubaneswar"/>
    <x v="2"/>
    <s v="Headphones"/>
    <n v="1"/>
    <n v="15465.75"/>
    <n v="8914.43"/>
    <x v="4"/>
    <n v="6551.32"/>
    <s v="January"/>
    <x v="10"/>
    <n v="0.42360182984982947"/>
    <n v="1.4322071228043421E-4"/>
  </r>
  <r>
    <d v="2023-10-27T00:00:00"/>
    <x v="2"/>
    <s v="Ahmedabad"/>
    <x v="3"/>
    <s v="Sofa"/>
    <n v="5"/>
    <n v="159338.75"/>
    <n v="89028.11"/>
    <x v="0"/>
    <n v="70310.64"/>
    <s v="October"/>
    <x v="1"/>
    <n v="0.44126516619466388"/>
    <n v="1.4755578791118462E-3"/>
  </r>
  <r>
    <d v="2023-06-08T00:00:00"/>
    <x v="1"/>
    <s v="Bangalore"/>
    <x v="3"/>
    <s v="Chair"/>
    <n v="2"/>
    <n v="80216.2"/>
    <n v="63717.33"/>
    <x v="4"/>
    <n v="16498.87"/>
    <s v="June"/>
    <x v="7"/>
    <n v="0.20568002473315863"/>
    <n v="7.4284281722061753E-4"/>
  </r>
  <r>
    <d v="2023-10-15T00:00:00"/>
    <x v="2"/>
    <s v="Ahmedabad"/>
    <x v="2"/>
    <s v="Laptop"/>
    <n v="5"/>
    <n v="160785"/>
    <n v="128032.07"/>
    <x v="2"/>
    <n v="32752.93"/>
    <s v="October"/>
    <x v="1"/>
    <n v="0.20370637808253259"/>
    <n v="1.4889508898055131E-3"/>
  </r>
  <r>
    <d v="2023-01-16T00:00:00"/>
    <x v="1"/>
    <s v="Hyderabad"/>
    <x v="1"/>
    <s v="Bag"/>
    <n v="2"/>
    <n v="71262"/>
    <n v="48114.52"/>
    <x v="3"/>
    <n v="23147.48"/>
    <s v="January"/>
    <x v="10"/>
    <n v="0.32482220538295303"/>
    <n v="6.5992237030394925E-4"/>
  </r>
  <r>
    <d v="2023-12-07T00:00:00"/>
    <x v="1"/>
    <s v="Hyderabad"/>
    <x v="2"/>
    <s v="Tablet"/>
    <n v="3"/>
    <n v="96993"/>
    <n v="56478.400000000001"/>
    <x v="3"/>
    <n v="40514.6"/>
    <s v="December"/>
    <x v="4"/>
    <n v="0.41770643242295835"/>
    <n v="8.9820451941976013E-4"/>
  </r>
  <r>
    <d v="2023-12-14T00:00:00"/>
    <x v="2"/>
    <s v="Ahmedabad"/>
    <x v="3"/>
    <s v="Sofa"/>
    <n v="2"/>
    <n v="71844"/>
    <n v="55497.93"/>
    <x v="3"/>
    <n v="16346.07"/>
    <s v="December"/>
    <x v="4"/>
    <n v="0.22752171371304492"/>
    <n v="6.6531198636183273E-4"/>
  </r>
  <r>
    <d v="2023-09-17T00:00:00"/>
    <x v="2"/>
    <s v="Mumbai"/>
    <x v="0"/>
    <s v="Shirt"/>
    <n v="5"/>
    <n v="112755.5"/>
    <n v="78998.47"/>
    <x v="0"/>
    <n v="33757.03"/>
    <s v="September"/>
    <x v="3"/>
    <n v="0.29938255783531625"/>
    <n v="1.0441732876541065E-3"/>
  </r>
  <r>
    <d v="2023-01-12T00:00:00"/>
    <x v="2"/>
    <s v="Ahmedabad"/>
    <x v="3"/>
    <s v="Sofa"/>
    <n v="2"/>
    <n v="84150"/>
    <n v="64098.89"/>
    <x v="2"/>
    <n v="20051.11"/>
    <s v="January"/>
    <x v="10"/>
    <n v="0.23827819370172312"/>
    <n v="7.7927180630739141E-4"/>
  </r>
  <r>
    <d v="2023-11-12T00:00:00"/>
    <x v="0"/>
    <s v="Patna"/>
    <x v="0"/>
    <s v="T-Shirt"/>
    <n v="6"/>
    <n v="21054"/>
    <n v="15172.21"/>
    <x v="3"/>
    <n v="5881.79"/>
    <s v="November"/>
    <x v="0"/>
    <n v="0.27936686615369999"/>
    <n v="1.9497074997024144E-4"/>
  </r>
  <r>
    <d v="2023-10-25T00:00:00"/>
    <x v="1"/>
    <s v="Chennai"/>
    <x v="1"/>
    <s v="Bag"/>
    <n v="4"/>
    <n v="158144"/>
    <n v="105326.54"/>
    <x v="1"/>
    <n v="52817.46"/>
    <s v="October"/>
    <x v="1"/>
    <n v="0.33398333164710642"/>
    <n v="1.4644938863538457E-3"/>
  </r>
  <r>
    <d v="2023-08-25T00:00:00"/>
    <x v="2"/>
    <s v="Mumbai"/>
    <x v="2"/>
    <s v="Headphones"/>
    <n v="1"/>
    <n v="33610.400000000001"/>
    <n v="23950.98"/>
    <x v="1"/>
    <n v="9659.42"/>
    <s v="August"/>
    <x v="8"/>
    <n v="0.28739378287672862"/>
    <n v="3.112494012919067E-4"/>
  </r>
  <r>
    <d v="2023-06-09T00:00:00"/>
    <x v="1"/>
    <s v="Bangalore"/>
    <x v="1"/>
    <s v="Bag"/>
    <n v="3"/>
    <n v="91434"/>
    <n v="73076.55"/>
    <x v="3"/>
    <n v="18357.45"/>
    <s v="June"/>
    <x v="7"/>
    <n v="0.20077268849662053"/>
    <n v="8.4672535160915064E-4"/>
  </r>
  <r>
    <d v="2023-12-18T00:00:00"/>
    <x v="1"/>
    <s v="Bangalore"/>
    <x v="3"/>
    <s v="Cupboard"/>
    <n v="1"/>
    <n v="20488.650000000001"/>
    <n v="11338.84"/>
    <x v="0"/>
    <n v="9149.81"/>
    <s v="December"/>
    <x v="4"/>
    <n v="0.44657944764540364"/>
    <n v="1.897353213820551E-4"/>
  </r>
  <r>
    <d v="2023-06-13T00:00:00"/>
    <x v="3"/>
    <s v="Chandigarh"/>
    <x v="1"/>
    <s v="Wallet"/>
    <n v="7"/>
    <n v="150899"/>
    <n v="108377.44"/>
    <x v="3"/>
    <n v="42521.56"/>
    <s v="June"/>
    <x v="7"/>
    <n v="0.28178821595901893"/>
    <n v="1.3974015008910168E-3"/>
  </r>
  <r>
    <d v="2023-01-12T00:00:00"/>
    <x v="2"/>
    <s v="Pune"/>
    <x v="0"/>
    <s v="Jeans"/>
    <n v="7"/>
    <n v="37885.050000000003"/>
    <n v="21314.29"/>
    <x v="0"/>
    <n v="16570.759999999998"/>
    <s v="January"/>
    <x v="10"/>
    <n v="0.43739575373399264"/>
    <n v="3.5083483476584478E-4"/>
  </r>
  <r>
    <d v="2023-06-11T00:00:00"/>
    <x v="3"/>
    <s v="Delhi"/>
    <x v="0"/>
    <s v="Shirt"/>
    <n v="5"/>
    <n v="78212"/>
    <n v="54766.23"/>
    <x v="1"/>
    <n v="23445.77"/>
    <s v="June"/>
    <x v="7"/>
    <n v="0.29977202986753954"/>
    <n v="7.242829057030742E-4"/>
  </r>
  <r>
    <d v="2023-08-05T00:00:00"/>
    <x v="2"/>
    <s v="Pune"/>
    <x v="1"/>
    <s v="Bag"/>
    <n v="6"/>
    <n v="68308.800000000003"/>
    <n v="52943.83"/>
    <x v="1"/>
    <n v="15364.97"/>
    <s v="August"/>
    <x v="8"/>
    <n v="0.22493397629587986"/>
    <n v="6.3257423603910092E-4"/>
  </r>
  <r>
    <d v="2023-12-31T00:00:00"/>
    <x v="2"/>
    <s v="Mumbai"/>
    <x v="2"/>
    <s v="Headphones"/>
    <n v="4"/>
    <n v="29509.200000000001"/>
    <n v="18101.21"/>
    <x v="2"/>
    <n v="11407.99"/>
    <s v="December"/>
    <x v="4"/>
    <n v="0.38659096146286581"/>
    <n v="2.7327020305033955E-4"/>
  </r>
  <r>
    <d v="2023-03-28T00:00:00"/>
    <x v="0"/>
    <s v="Bhubaneswar"/>
    <x v="2"/>
    <s v="Headphones"/>
    <n v="5"/>
    <n v="25844.25"/>
    <n v="16304.69"/>
    <x v="4"/>
    <n v="9539.56"/>
    <s v="March"/>
    <x v="9"/>
    <n v="0.3691173084922178"/>
    <n v="2.3933090172501248E-4"/>
  </r>
  <r>
    <d v="2023-04-19T00:00:00"/>
    <x v="1"/>
    <s v="Bangalore"/>
    <x v="0"/>
    <s v="Jeans"/>
    <n v="7"/>
    <n v="153248.20000000001"/>
    <n v="109181.22"/>
    <x v="4"/>
    <n v="44066.98"/>
    <s v="April"/>
    <x v="11"/>
    <n v="0.2875530022538601"/>
    <n v="1.4191562879067902E-3"/>
  </r>
  <r>
    <d v="2023-10-14T00:00:00"/>
    <x v="0"/>
    <s v="Bhubaneswar"/>
    <x v="1"/>
    <s v="Wallet"/>
    <n v="3"/>
    <n v="7433.1"/>
    <n v="4088.26"/>
    <x v="2"/>
    <n v="3344.84"/>
    <s v="October"/>
    <x v="1"/>
    <n v="0.44999260066459484"/>
    <n v="6.8834287147515996E-5"/>
  </r>
  <r>
    <d v="2023-10-18T00:00:00"/>
    <x v="0"/>
    <s v="Kolkata"/>
    <x v="1"/>
    <s v="Belt"/>
    <n v="6"/>
    <n v="80683.199999999997"/>
    <n v="63691.96"/>
    <x v="1"/>
    <n v="16991.240000000002"/>
    <s v="October"/>
    <x v="1"/>
    <n v="0.21059204394471218"/>
    <n v="7.4716747477909112E-4"/>
  </r>
  <r>
    <d v="2023-08-07T00:00:00"/>
    <x v="3"/>
    <s v="Delhi"/>
    <x v="2"/>
    <s v="Smartphone"/>
    <n v="7"/>
    <n v="272929.3"/>
    <n v="191537.37"/>
    <x v="0"/>
    <n v="81391.929999999993"/>
    <s v="August"/>
    <x v="8"/>
    <n v="0.29821616806989942"/>
    <n v="2.5274641545479726E-3"/>
  </r>
  <r>
    <d v="2023-02-23T00:00:00"/>
    <x v="3"/>
    <s v="Jaipur"/>
    <x v="2"/>
    <s v="Headphones"/>
    <n v="4"/>
    <n v="170762.4"/>
    <n v="129340.69"/>
    <x v="2"/>
    <n v="41421.71"/>
    <s v="February"/>
    <x v="2"/>
    <n v="0.24256926583369642"/>
    <n v="1.5813466892143232E-3"/>
  </r>
  <r>
    <d v="2023-07-12T00:00:00"/>
    <x v="2"/>
    <s v="Ahmedabad"/>
    <x v="2"/>
    <s v="Smartphone"/>
    <n v="2"/>
    <n v="5535"/>
    <n v="4277.6099999999997"/>
    <x v="2"/>
    <n v="1257.3900000000001"/>
    <s v="July"/>
    <x v="5"/>
    <n v="0.22717073170731708"/>
    <n v="5.1256915602036976E-5"/>
  </r>
  <r>
    <d v="2023-11-22T00:00:00"/>
    <x v="0"/>
    <s v="Patna"/>
    <x v="2"/>
    <s v="Tablet"/>
    <n v="1"/>
    <n v="37274.199999999997"/>
    <n v="26767.599999999999"/>
    <x v="0"/>
    <n v="10506.6"/>
    <s v="November"/>
    <x v="0"/>
    <n v="0.28187325281293768"/>
    <n v="3.4517805303223965E-4"/>
  </r>
  <r>
    <d v="2023-12-30T00:00:00"/>
    <x v="2"/>
    <s v="Mumbai"/>
    <x v="1"/>
    <s v="Belt"/>
    <n v="1"/>
    <n v="40573.9"/>
    <n v="23617.32"/>
    <x v="4"/>
    <n v="16956.580000000002"/>
    <s v="December"/>
    <x v="4"/>
    <n v="0.4179184155331383"/>
    <n v="3.7573495355835377E-4"/>
  </r>
  <r>
    <d v="2023-04-12T00:00:00"/>
    <x v="2"/>
    <s v="Mumbai"/>
    <x v="1"/>
    <s v="Watch"/>
    <n v="7"/>
    <n v="298311.3"/>
    <n v="201357.07"/>
    <x v="2"/>
    <n v="96954.23"/>
    <s v="April"/>
    <x v="11"/>
    <n v="0.32501024936031586"/>
    <n v="2.7625143861307916E-3"/>
  </r>
  <r>
    <d v="2023-02-21T00:00:00"/>
    <x v="0"/>
    <s v="Kolkata"/>
    <x v="0"/>
    <s v="T-Shirt"/>
    <n v="5"/>
    <n v="197995"/>
    <n v="122981.69"/>
    <x v="3"/>
    <n v="75013.31"/>
    <s v="February"/>
    <x v="2"/>
    <n v="0.3788646682997045"/>
    <n v="1.8335344181798212E-3"/>
  </r>
  <r>
    <d v="2023-12-12T00:00:00"/>
    <x v="0"/>
    <s v="Kolkata"/>
    <x v="2"/>
    <s v="Smartphone"/>
    <n v="3"/>
    <n v="27922.5"/>
    <n v="19204.060000000001"/>
    <x v="4"/>
    <n v="8718.44"/>
    <s v="December"/>
    <x v="4"/>
    <n v="0.31223708478825324"/>
    <n v="2.5857655391108898E-4"/>
  </r>
  <r>
    <d v="2023-07-30T00:00:00"/>
    <x v="2"/>
    <s v="Ahmedabad"/>
    <x v="3"/>
    <s v="Sofa"/>
    <n v="3"/>
    <n v="102573"/>
    <n v="58621.29"/>
    <x v="3"/>
    <n v="43951.71"/>
    <s v="July"/>
    <x v="5"/>
    <n v="0.42849200081892896"/>
    <n v="9.4987815791287053E-4"/>
  </r>
  <r>
    <d v="2023-01-11T00:00:00"/>
    <x v="2"/>
    <s v="Ahmedabad"/>
    <x v="0"/>
    <s v="Shirt"/>
    <n v="7"/>
    <n v="80350.2"/>
    <n v="57003.93"/>
    <x v="2"/>
    <n v="23346.27"/>
    <s v="January"/>
    <x v="10"/>
    <n v="0.29055646407849639"/>
    <n v="7.4408372538514744E-4"/>
  </r>
  <r>
    <d v="2023-08-08T00:00:00"/>
    <x v="1"/>
    <s v="Chennai"/>
    <x v="0"/>
    <s v="Jacket"/>
    <n v="6"/>
    <n v="174465.9"/>
    <n v="109380.13"/>
    <x v="4"/>
    <n v="65085.77"/>
    <s v="August"/>
    <x v="8"/>
    <n v="0.37305725646100468"/>
    <n v="1.6156429831496698E-3"/>
  </r>
  <r>
    <d v="2023-11-20T00:00:00"/>
    <x v="3"/>
    <s v="Jaipur"/>
    <x v="1"/>
    <s v="Wallet"/>
    <n v="3"/>
    <n v="84431.7"/>
    <n v="65597.850000000006"/>
    <x v="2"/>
    <n v="18833.849999999999"/>
    <s v="November"/>
    <x v="0"/>
    <n v="0.22306609958108151"/>
    <n v="7.8188049160551128E-4"/>
  </r>
  <r>
    <d v="2023-02-15T00:00:00"/>
    <x v="3"/>
    <s v="Chandigarh"/>
    <x v="3"/>
    <s v="Table"/>
    <n v="4"/>
    <n v="148946.4"/>
    <n v="115855.69"/>
    <x v="2"/>
    <n v="33090.71"/>
    <s v="February"/>
    <x v="2"/>
    <n v="0.2221652218516191"/>
    <n v="1.3793194316219042E-3"/>
  </r>
  <r>
    <d v="2023-09-17T00:00:00"/>
    <x v="3"/>
    <s v="Delhi"/>
    <x v="2"/>
    <s v="Laptop"/>
    <n v="5"/>
    <n v="105485"/>
    <n v="83505.820000000007"/>
    <x v="3"/>
    <n v="21979.18"/>
    <s v="September"/>
    <x v="3"/>
    <n v="0.20836308479878657"/>
    <n v="9.7684475921966949E-4"/>
  </r>
  <r>
    <d v="2023-08-03T00:00:00"/>
    <x v="0"/>
    <s v="Kolkata"/>
    <x v="0"/>
    <s v="Jeans"/>
    <n v="2"/>
    <n v="19145.400000000001"/>
    <n v="15003.91"/>
    <x v="4"/>
    <n v="4141.49"/>
    <s v="August"/>
    <x v="8"/>
    <n v="0.21631775779038304"/>
    <n v="1.7729614308351196E-4"/>
  </r>
  <r>
    <d v="2023-02-23T00:00:00"/>
    <x v="3"/>
    <s v="Jaipur"/>
    <x v="3"/>
    <s v="Cupboard"/>
    <n v="3"/>
    <n v="94758"/>
    <n v="61067.72"/>
    <x v="3"/>
    <n v="33690.28"/>
    <s v="February"/>
    <x v="2"/>
    <n v="0.35554021824014859"/>
    <n v="8.7750728249644434E-4"/>
  </r>
  <r>
    <d v="2023-07-27T00:00:00"/>
    <x v="3"/>
    <s v="Jaipur"/>
    <x v="2"/>
    <s v="Headphones"/>
    <n v="6"/>
    <n v="188118.6"/>
    <n v="150389.03"/>
    <x v="4"/>
    <n v="37729.57"/>
    <s v="July"/>
    <x v="5"/>
    <n v="0.20056267694954139"/>
    <n v="1.7420739301487538E-3"/>
  </r>
  <r>
    <d v="2023-04-16T00:00:00"/>
    <x v="1"/>
    <s v="Chennai"/>
    <x v="1"/>
    <s v="Watch"/>
    <n v="5"/>
    <n v="74570"/>
    <n v="48746.89"/>
    <x v="3"/>
    <n v="25823.11"/>
    <s v="April"/>
    <x v="11"/>
    <n v="0.34629354968485987"/>
    <n v="6.9055613305219463E-4"/>
  </r>
  <r>
    <d v="2023-03-28T00:00:00"/>
    <x v="0"/>
    <s v="Bhubaneswar"/>
    <x v="2"/>
    <s v="Headphones"/>
    <n v="6"/>
    <n v="237707.1"/>
    <n v="134390.46"/>
    <x v="0"/>
    <n v="103316.64"/>
    <s v="March"/>
    <x v="9"/>
    <n v="0.43463842687071608"/>
    <n v="2.2012886653486837E-3"/>
  </r>
  <r>
    <d v="2023-05-18T00:00:00"/>
    <x v="3"/>
    <s v="Chandigarh"/>
    <x v="0"/>
    <s v="Jeans"/>
    <n v="1"/>
    <n v="28869"/>
    <n v="16970.87"/>
    <x v="3"/>
    <n v="11898.13"/>
    <s v="May"/>
    <x v="6"/>
    <n v="0.41214209013128267"/>
    <n v="2.6734162538666762E-4"/>
  </r>
  <r>
    <d v="2023-01-01T00:00:00"/>
    <x v="3"/>
    <s v="Jaipur"/>
    <x v="1"/>
    <s v="Watch"/>
    <n v="2"/>
    <n v="24352.2"/>
    <n v="15451.98"/>
    <x v="2"/>
    <n v="8900.2199999999993"/>
    <s v="January"/>
    <x v="10"/>
    <n v="0.36547909429127551"/>
    <n v="2.2551375973331976E-4"/>
  </r>
  <r>
    <d v="2023-08-06T00:00:00"/>
    <x v="2"/>
    <s v="Mumbai"/>
    <x v="1"/>
    <s v="Bag"/>
    <n v="4"/>
    <n v="88359.2"/>
    <n v="53210.59"/>
    <x v="4"/>
    <n v="35148.61"/>
    <s v="August"/>
    <x v="8"/>
    <n v="0.39779230685655825"/>
    <n v="8.1825113948753479E-4"/>
  </r>
  <r>
    <d v="2023-09-10T00:00:00"/>
    <x v="2"/>
    <s v="Mumbai"/>
    <x v="0"/>
    <s v="Jeans"/>
    <n v="2"/>
    <n v="73619.199999999997"/>
    <n v="51109.79"/>
    <x v="1"/>
    <n v="22509.41"/>
    <s v="September"/>
    <x v="3"/>
    <n v="0.30575461292706252"/>
    <n v="6.8175124138924667E-4"/>
  </r>
  <r>
    <d v="2023-11-30T00:00:00"/>
    <x v="2"/>
    <s v="Ahmedabad"/>
    <x v="1"/>
    <s v="Bag"/>
    <n v="4"/>
    <n v="169970.4"/>
    <n v="117528.18"/>
    <x v="2"/>
    <n v="52442.22"/>
    <s v="November"/>
    <x v="0"/>
    <n v="0.3085373688595191"/>
    <n v="1.5740123663314299E-3"/>
  </r>
  <r>
    <d v="2023-07-06T00:00:00"/>
    <x v="3"/>
    <s v="Chandigarh"/>
    <x v="1"/>
    <s v="Wallet"/>
    <n v="5"/>
    <n v="124429.5"/>
    <n v="73147.3"/>
    <x v="2"/>
    <n v="51282.2"/>
    <s v="July"/>
    <x v="5"/>
    <n v="0.41213860057301521"/>
    <n v="1.1522804661072555E-3"/>
  </r>
  <r>
    <d v="2023-06-07T00:00:00"/>
    <x v="0"/>
    <s v="Kolkata"/>
    <x v="2"/>
    <s v="Tablet"/>
    <n v="6"/>
    <n v="174798"/>
    <n v="132341.26"/>
    <x v="3"/>
    <n v="42456.74"/>
    <s v="June"/>
    <x v="7"/>
    <n v="0.24289030766942413"/>
    <n v="1.6187183980857921E-3"/>
  </r>
  <r>
    <d v="2023-06-30T00:00:00"/>
    <x v="1"/>
    <s v="Hyderabad"/>
    <x v="3"/>
    <s v="Cupboard"/>
    <n v="4"/>
    <n v="134752.20000000001"/>
    <n v="100507.27"/>
    <x v="4"/>
    <n v="34244.93"/>
    <s v="June"/>
    <x v="7"/>
    <n v="0.2541326226955849"/>
    <n v="1.2478739191669028E-3"/>
  </r>
  <r>
    <d v="2023-03-11T00:00:00"/>
    <x v="0"/>
    <s v="Bhubaneswar"/>
    <x v="2"/>
    <s v="Laptop"/>
    <n v="7"/>
    <n v="70310.45"/>
    <n v="41784.68"/>
    <x v="0"/>
    <n v="28525.77"/>
    <s v="March"/>
    <x v="9"/>
    <n v="0.40571166874909775"/>
    <n v="6.5111053325948333E-4"/>
  </r>
  <r>
    <d v="2023-02-02T00:00:00"/>
    <x v="2"/>
    <s v="Pune"/>
    <x v="0"/>
    <s v="T-Shirt"/>
    <n v="2"/>
    <n v="18153.599999999999"/>
    <n v="10032.1"/>
    <x v="1"/>
    <n v="8121.5"/>
    <s v="February"/>
    <x v="2"/>
    <n v="0.44737682883835717"/>
    <n v="1.6811157056425264E-4"/>
  </r>
  <r>
    <d v="2023-11-28T00:00:00"/>
    <x v="1"/>
    <s v="Bangalore"/>
    <x v="1"/>
    <s v="Bag"/>
    <n v="6"/>
    <n v="53076"/>
    <n v="40787.25"/>
    <x v="3"/>
    <n v="12288.75"/>
    <s v="November"/>
    <x v="0"/>
    <n v="0.23153120054261814"/>
    <n v="4.9151075925812362E-4"/>
  </r>
  <r>
    <d v="2023-06-21T00:00:00"/>
    <x v="0"/>
    <s v="Kolkata"/>
    <x v="2"/>
    <s v="Tablet"/>
    <n v="6"/>
    <n v="254493.6"/>
    <n v="180942.19"/>
    <x v="0"/>
    <n v="73551.41"/>
    <s v="June"/>
    <x v="7"/>
    <n v="0.28901084349468908"/>
    <n v="2.3567401944821239E-3"/>
  </r>
  <r>
    <d v="2023-07-05T00:00:00"/>
    <x v="1"/>
    <s v="Chennai"/>
    <x v="0"/>
    <s v="Jacket"/>
    <n v="3"/>
    <n v="125839.95"/>
    <n v="92873.93"/>
    <x v="4"/>
    <n v="32966.019999999997"/>
    <s v="July"/>
    <x v="5"/>
    <n v="0.26196784089631314"/>
    <n v="1.1653419505898016E-3"/>
  </r>
  <r>
    <d v="2023-04-08T00:00:00"/>
    <x v="3"/>
    <s v="Jaipur"/>
    <x v="0"/>
    <s v="Jeans"/>
    <n v="3"/>
    <n v="13972.5"/>
    <n v="9738.83"/>
    <x v="2"/>
    <n v="4233.67"/>
    <s v="April"/>
    <x v="11"/>
    <n v="0.30300017892288422"/>
    <n v="1.2939245767831285E-4"/>
  </r>
  <r>
    <d v="2023-07-04T00:00:00"/>
    <x v="3"/>
    <s v="Chandigarh"/>
    <x v="3"/>
    <s v="Cupboard"/>
    <n v="7"/>
    <n v="126782.25"/>
    <n v="94592.41"/>
    <x v="0"/>
    <n v="32189.84"/>
    <s v="July"/>
    <x v="5"/>
    <n v="0.25389863328659967"/>
    <n v="1.1740681279288803E-3"/>
  </r>
  <r>
    <d v="2023-06-28T00:00:00"/>
    <x v="3"/>
    <s v="Jaipur"/>
    <x v="0"/>
    <s v="Shirt"/>
    <n v="7"/>
    <n v="172889.15"/>
    <n v="113031.67999999999"/>
    <x v="4"/>
    <n v="59857.47"/>
    <s v="June"/>
    <x v="7"/>
    <n v="0.34621877659760608"/>
    <n v="1.6010414760718899E-3"/>
  </r>
  <r>
    <d v="2023-02-11T00:00:00"/>
    <x v="0"/>
    <s v="Kolkata"/>
    <x v="2"/>
    <s v="Smartphone"/>
    <n v="5"/>
    <n v="28236"/>
    <n v="19795.97"/>
    <x v="1"/>
    <n v="8440.0300000000007"/>
    <s v="February"/>
    <x v="2"/>
    <n v="0.29891025641025643"/>
    <n v="2.6147972338556749E-4"/>
  </r>
  <r>
    <d v="2023-12-05T00:00:00"/>
    <x v="3"/>
    <s v="Jaipur"/>
    <x v="3"/>
    <s v="Sofa"/>
    <n v="7"/>
    <n v="231851.2"/>
    <n v="128233.48"/>
    <x v="1"/>
    <n v="103617.72"/>
    <s v="December"/>
    <x v="4"/>
    <n v="0.44691474531941172"/>
    <n v="2.1470600525078584E-3"/>
  </r>
  <r>
    <d v="2023-03-08T00:00:00"/>
    <x v="1"/>
    <s v="Bangalore"/>
    <x v="0"/>
    <s v="Jacket"/>
    <n v="6"/>
    <n v="28872"/>
    <n v="22754.13"/>
    <x v="1"/>
    <n v="6117.87"/>
    <s v="March"/>
    <x v="9"/>
    <n v="0.21189630091438072"/>
    <n v="2.6736940691273923E-4"/>
  </r>
  <r>
    <d v="2023-02-14T00:00:00"/>
    <x v="2"/>
    <s v="Ahmedabad"/>
    <x v="3"/>
    <s v="Cupboard"/>
    <n v="7"/>
    <n v="144288.9"/>
    <n v="81596.87"/>
    <x v="2"/>
    <n v="62692.03"/>
    <s v="February"/>
    <x v="2"/>
    <n v="0.43448962463502044"/>
    <n v="1.3361886123958E-3"/>
  </r>
  <r>
    <d v="2023-11-23T00:00:00"/>
    <x v="2"/>
    <s v="Ahmedabad"/>
    <x v="1"/>
    <s v="Watch"/>
    <n v="3"/>
    <n v="16744.8"/>
    <n v="9684.94"/>
    <x v="1"/>
    <n v="7059.86"/>
    <s v="November"/>
    <x v="0"/>
    <n v="0.42161506855859732"/>
    <n v="1.5506536592104584E-4"/>
  </r>
  <r>
    <d v="2023-01-01T00:00:00"/>
    <x v="0"/>
    <s v="Bhubaneswar"/>
    <x v="3"/>
    <s v="Table"/>
    <n v="1"/>
    <n v="35081"/>
    <n v="24956.38"/>
    <x v="3"/>
    <n v="10124.620000000001"/>
    <s v="January"/>
    <x v="10"/>
    <n v="0.28860693822867084"/>
    <n v="3.2486790537218771E-4"/>
  </r>
  <r>
    <d v="2023-07-07T00:00:00"/>
    <x v="1"/>
    <s v="Hyderabad"/>
    <x v="1"/>
    <s v="Bag"/>
    <n v="1"/>
    <n v="35457.800000000003"/>
    <n v="21007.75"/>
    <x v="0"/>
    <n v="14450.05"/>
    <s v="July"/>
    <x v="5"/>
    <n v="0.40752810383046884"/>
    <n v="3.2835726504677629E-4"/>
  </r>
  <r>
    <d v="2023-01-25T00:00:00"/>
    <x v="1"/>
    <s v="Chennai"/>
    <x v="1"/>
    <s v="Bag"/>
    <n v="1"/>
    <n v="3092.4"/>
    <n v="2234.8200000000002"/>
    <x v="2"/>
    <n v="857.58"/>
    <s v="January"/>
    <x v="10"/>
    <n v="0.27731858750485061"/>
    <n v="2.8637197074568951E-5"/>
  </r>
  <r>
    <d v="2023-04-02T00:00:00"/>
    <x v="1"/>
    <s v="Chennai"/>
    <x v="2"/>
    <s v="Tablet"/>
    <n v="6"/>
    <n v="150017.4"/>
    <n v="82666.62"/>
    <x v="2"/>
    <n v="67350.78"/>
    <s v="April"/>
    <x v="11"/>
    <n v="0.44895312143791322"/>
    <n v="1.3892374364294529E-3"/>
  </r>
  <r>
    <d v="2023-03-09T00:00:00"/>
    <x v="0"/>
    <s v="Bhubaneswar"/>
    <x v="1"/>
    <s v="Belt"/>
    <n v="1"/>
    <n v="26733.35"/>
    <n v="18577.13"/>
    <x v="4"/>
    <n v="8156.22"/>
    <s v="March"/>
    <x v="9"/>
    <n v="0.30509532101289216"/>
    <n v="2.4756442000175519E-4"/>
  </r>
  <r>
    <d v="2023-01-25T00:00:00"/>
    <x v="1"/>
    <s v="Bangalore"/>
    <x v="3"/>
    <s v="Cupboard"/>
    <n v="3"/>
    <n v="101671.2"/>
    <n v="61941.25"/>
    <x v="1"/>
    <n v="39729.949999999997"/>
    <s v="January"/>
    <x v="10"/>
    <n v="0.39076896899023517"/>
    <n v="9.415270311757581E-4"/>
  </r>
  <r>
    <d v="2023-06-24T00:00:00"/>
    <x v="2"/>
    <s v="Pune"/>
    <x v="3"/>
    <s v="Sofa"/>
    <n v="2"/>
    <n v="80843.100000000006"/>
    <n v="55517.56"/>
    <x v="0"/>
    <n v="25325.54"/>
    <s v="June"/>
    <x v="7"/>
    <n v="0.31326779898346302"/>
    <n v="7.4864823011870564E-4"/>
  </r>
  <r>
    <d v="2023-11-05T00:00:00"/>
    <x v="0"/>
    <s v="Bhubaneswar"/>
    <x v="2"/>
    <s v="Smartphone"/>
    <n v="7"/>
    <n v="220827.6"/>
    <n v="168036.28"/>
    <x v="2"/>
    <n v="52791.32"/>
    <s v="November"/>
    <x v="0"/>
    <n v="0.23906124053333913"/>
    <n v="2.0449759089070244E-3"/>
  </r>
  <r>
    <d v="2023-08-02T00:00:00"/>
    <x v="1"/>
    <s v="Chennai"/>
    <x v="3"/>
    <s v="Table"/>
    <n v="5"/>
    <n v="50715"/>
    <n v="35889.96"/>
    <x v="3"/>
    <n v="14825.04"/>
    <s v="August"/>
    <x v="8"/>
    <n v="0.29232061520260277"/>
    <n v="4.6964669823980218E-4"/>
  </r>
  <r>
    <d v="2023-07-06T00:00:00"/>
    <x v="0"/>
    <s v="Patna"/>
    <x v="0"/>
    <s v="Jeans"/>
    <n v="4"/>
    <n v="72821.2"/>
    <n v="47698.09"/>
    <x v="4"/>
    <n v="25123.11"/>
    <s v="July"/>
    <x v="5"/>
    <n v="0.34499719861798489"/>
    <n v="6.7436135545421039E-4"/>
  </r>
  <r>
    <d v="2023-04-08T00:00:00"/>
    <x v="3"/>
    <s v="Jaipur"/>
    <x v="1"/>
    <s v="Belt"/>
    <n v="4"/>
    <n v="18547.2"/>
    <n v="13409.86"/>
    <x v="1"/>
    <n v="5137.34"/>
    <s v="April"/>
    <x v="11"/>
    <n v="0.27698736197377499"/>
    <n v="1.7175650678484194E-4"/>
  </r>
  <r>
    <d v="2023-01-16T00:00:00"/>
    <x v="0"/>
    <s v="Bhubaneswar"/>
    <x v="1"/>
    <s v="Wallet"/>
    <n v="6"/>
    <n v="84134.7"/>
    <n v="67234.7"/>
    <x v="4"/>
    <n v="16900"/>
    <s v="January"/>
    <x v="10"/>
    <n v="0.20086836941238276"/>
    <n v="7.7913012052442633E-4"/>
  </r>
  <r>
    <d v="2023-08-02T00:00:00"/>
    <x v="2"/>
    <s v="Ahmedabad"/>
    <x v="1"/>
    <s v="Watch"/>
    <n v="6"/>
    <n v="17273.7"/>
    <n v="12653.73"/>
    <x v="4"/>
    <n v="4619.97"/>
    <s v="August"/>
    <x v="8"/>
    <n v="0.26745688532277395"/>
    <n v="1.5996324896746272E-4"/>
  </r>
  <r>
    <d v="2023-12-29T00:00:00"/>
    <x v="3"/>
    <s v="Chandigarh"/>
    <x v="1"/>
    <s v="Watch"/>
    <n v="1"/>
    <n v="9723.6"/>
    <n v="6974.78"/>
    <x v="2"/>
    <n v="2748.82"/>
    <s v="December"/>
    <x v="4"/>
    <n v="0.28269570940803818"/>
    <n v="9.0045482303155688E-5"/>
  </r>
  <r>
    <d v="2023-04-13T00:00:00"/>
    <x v="0"/>
    <s v="Patna"/>
    <x v="2"/>
    <s v="Tablet"/>
    <n v="2"/>
    <n v="12948"/>
    <n v="9244.56"/>
    <x v="3"/>
    <n v="3703.44"/>
    <s v="April"/>
    <x v="11"/>
    <n v="0.28602409638554216"/>
    <n v="1.1990506652487348E-4"/>
  </r>
  <r>
    <d v="2023-06-19T00:00:00"/>
    <x v="0"/>
    <s v="Bhubaneswar"/>
    <x v="2"/>
    <s v="Headphones"/>
    <n v="2"/>
    <n v="6586.2"/>
    <n v="4984.93"/>
    <x v="2"/>
    <n v="1601.27"/>
    <s v="June"/>
    <x v="7"/>
    <n v="0.24312501897907746"/>
    <n v="6.0991562337513265E-5"/>
  </r>
  <r>
    <d v="2023-04-19T00:00:00"/>
    <x v="0"/>
    <s v="Patna"/>
    <x v="1"/>
    <s v="Wallet"/>
    <n v="3"/>
    <n v="97094.7"/>
    <n v="70271.149999999994"/>
    <x v="2"/>
    <n v="26823.55"/>
    <s v="April"/>
    <x v="11"/>
    <n v="0.27626173210278215"/>
    <n v="8.9914631315358615E-4"/>
  </r>
  <r>
    <d v="2023-04-11T00:00:00"/>
    <x v="3"/>
    <s v="Jaipur"/>
    <x v="2"/>
    <s v="Smartphone"/>
    <n v="5"/>
    <n v="72000"/>
    <n v="41997.279999999999"/>
    <x v="3"/>
    <n v="30002.720000000001"/>
    <s v="April"/>
    <x v="11"/>
    <n v="0.41670444444444443"/>
    <n v="6.6675662571755417E-4"/>
  </r>
  <r>
    <d v="2023-10-24T00:00:00"/>
    <x v="1"/>
    <s v="Bangalore"/>
    <x v="1"/>
    <s v="Watch"/>
    <n v="4"/>
    <n v="91063.2"/>
    <n v="56645.51"/>
    <x v="0"/>
    <n v="34417.69"/>
    <s v="October"/>
    <x v="1"/>
    <n v="0.37795388257825341"/>
    <n v="8.4329155498670517E-4"/>
  </r>
  <r>
    <d v="2023-11-18T00:00:00"/>
    <x v="1"/>
    <s v="Hyderabad"/>
    <x v="2"/>
    <s v="Laptop"/>
    <n v="6"/>
    <n v="6724.8"/>
    <n v="4234.42"/>
    <x v="1"/>
    <n v="2490.38"/>
    <s v="November"/>
    <x v="0"/>
    <n v="0.37032774208898406"/>
    <n v="6.2275068842019551E-5"/>
  </r>
  <r>
    <d v="2023-08-29T00:00:00"/>
    <x v="2"/>
    <s v="Ahmedabad"/>
    <x v="0"/>
    <s v="T-Shirt"/>
    <n v="3"/>
    <n v="48956.4"/>
    <n v="34583.800000000003"/>
    <x v="2"/>
    <n v="14372.6"/>
    <s v="August"/>
    <x v="8"/>
    <n v="0.29357959327074701"/>
    <n v="4.5336116765665093E-4"/>
  </r>
  <r>
    <d v="2023-05-06T00:00:00"/>
    <x v="2"/>
    <s v="Mumbai"/>
    <x v="1"/>
    <s v="Watch"/>
    <n v="3"/>
    <n v="68997"/>
    <n v="38337.57"/>
    <x v="3"/>
    <n v="30659.43"/>
    <s v="May"/>
    <x v="6"/>
    <n v="0.44435888516892041"/>
    <n v="6.3894731811991784E-4"/>
  </r>
  <r>
    <d v="2023-01-25T00:00:00"/>
    <x v="0"/>
    <s v="Patna"/>
    <x v="2"/>
    <s v="Headphones"/>
    <n v="2"/>
    <n v="1296"/>
    <n v="974.72"/>
    <x v="2"/>
    <n v="321.27999999999997"/>
    <s v="January"/>
    <x v="10"/>
    <n v="0.24790123456790122"/>
    <n v="1.2001619262915975E-5"/>
  </r>
  <r>
    <d v="2023-12-26T00:00:00"/>
    <x v="2"/>
    <s v="Pune"/>
    <x v="0"/>
    <s v="T-Shirt"/>
    <n v="1"/>
    <n v="35951.800000000003"/>
    <n v="21401.85"/>
    <x v="0"/>
    <n v="14549.95"/>
    <s v="December"/>
    <x v="4"/>
    <n v="0.40470713566497363"/>
    <n v="3.3293195633989396E-4"/>
  </r>
  <r>
    <d v="2023-12-18T00:00:00"/>
    <x v="0"/>
    <s v="Patna"/>
    <x v="3"/>
    <s v="Chair"/>
    <n v="5"/>
    <n v="166016"/>
    <n v="109010.25"/>
    <x v="1"/>
    <n v="57005.75"/>
    <s v="December"/>
    <x v="4"/>
    <n v="0.34337503614109482"/>
    <n v="1.5373926107656315E-3"/>
  </r>
  <r>
    <d v="2023-03-29T00:00:00"/>
    <x v="3"/>
    <s v="Jaipur"/>
    <x v="0"/>
    <s v="Jacket"/>
    <n v="2"/>
    <n v="96290"/>
    <n v="58110.89"/>
    <x v="3"/>
    <n v="38179.11"/>
    <s v="March"/>
    <x v="9"/>
    <n v="0.39650129816180291"/>
    <n v="8.9169438181032343E-4"/>
  </r>
  <r>
    <d v="2023-06-03T00:00:00"/>
    <x v="2"/>
    <s v="Mumbai"/>
    <x v="2"/>
    <s v="Tablet"/>
    <n v="7"/>
    <n v="7105"/>
    <n v="4456.26"/>
    <x v="3"/>
    <n v="2648.74"/>
    <s v="June"/>
    <x v="7"/>
    <n v="0.37279943701618573"/>
    <n v="6.5795914246155862E-5"/>
  </r>
  <r>
    <d v="2023-09-18T00:00:00"/>
    <x v="2"/>
    <s v="Mumbai"/>
    <x v="1"/>
    <s v="Belt"/>
    <n v="3"/>
    <n v="16595.400000000001"/>
    <n v="12060.77"/>
    <x v="4"/>
    <n v="4534.63"/>
    <s v="September"/>
    <x v="3"/>
    <n v="0.27324620075442591"/>
    <n v="1.5368184592268191E-4"/>
  </r>
  <r>
    <d v="2023-04-19T00:00:00"/>
    <x v="2"/>
    <s v="Ahmedabad"/>
    <x v="3"/>
    <s v="Sofa"/>
    <n v="2"/>
    <n v="59110.400000000001"/>
    <n v="32790.69"/>
    <x v="1"/>
    <n v="26319.71"/>
    <s v="April"/>
    <x v="11"/>
    <n v="0.44526360843438717"/>
    <n v="5.4739237290020708E-4"/>
  </r>
  <r>
    <d v="2023-09-24T00:00:00"/>
    <x v="1"/>
    <s v="Bangalore"/>
    <x v="0"/>
    <s v="T-Shirt"/>
    <n v="3"/>
    <n v="147369"/>
    <n v="86123.54"/>
    <x v="3"/>
    <n v="61245.46"/>
    <s v="September"/>
    <x v="3"/>
    <n v="0.41559256017208501"/>
    <n v="1.3647119052134756E-3"/>
  </r>
  <r>
    <d v="2023-03-14T00:00:00"/>
    <x v="0"/>
    <s v="Kolkata"/>
    <x v="2"/>
    <s v="Smartphone"/>
    <n v="5"/>
    <n v="57120"/>
    <n v="36507.839999999997"/>
    <x v="4"/>
    <n v="20612.16"/>
    <s v="March"/>
    <x v="9"/>
    <n v="0.36085714285714288"/>
    <n v="5.2896025640259293E-4"/>
  </r>
  <r>
    <d v="2023-07-25T00:00:00"/>
    <x v="2"/>
    <s v="Ahmedabad"/>
    <x v="3"/>
    <s v="Table"/>
    <n v="4"/>
    <n v="56556.800000000003"/>
    <n v="44319.94"/>
    <x v="1"/>
    <n v="12236.86"/>
    <s v="July"/>
    <x v="5"/>
    <n v="0.21636408000452642"/>
    <n v="5.2374473790809122E-4"/>
  </r>
  <r>
    <d v="2023-07-02T00:00:00"/>
    <x v="1"/>
    <s v="Hyderabad"/>
    <x v="2"/>
    <s v="Tablet"/>
    <n v="7"/>
    <n v="153721.4"/>
    <n v="97173.37"/>
    <x v="0"/>
    <n v="56548.03"/>
    <s v="July"/>
    <x v="5"/>
    <n v="0.36786049307383356"/>
    <n v="1.4235383606191448E-3"/>
  </r>
  <r>
    <d v="2023-03-11T00:00:00"/>
    <x v="3"/>
    <s v="Delhi"/>
    <x v="3"/>
    <s v="Chair"/>
    <n v="5"/>
    <n v="131023.25"/>
    <n v="78837.279999999999"/>
    <x v="4"/>
    <n v="52185.97"/>
    <s v="March"/>
    <x v="9"/>
    <n v="0.39829549335709502"/>
    <n v="1.2133419452853822E-3"/>
  </r>
  <r>
    <d v="2023-08-02T00:00:00"/>
    <x v="0"/>
    <s v="Patna"/>
    <x v="0"/>
    <s v="Jeans"/>
    <n v="3"/>
    <n v="8754.15"/>
    <n v="6445.71"/>
    <x v="4"/>
    <n v="2308.44"/>
    <s v="August"/>
    <x v="8"/>
    <n v="0.26369664673326365"/>
    <n v="8.1067882153129531E-5"/>
  </r>
  <r>
    <d v="2023-08-05T00:00:00"/>
    <x v="0"/>
    <s v="Bhubaneswar"/>
    <x v="3"/>
    <s v="Sofa"/>
    <n v="6"/>
    <n v="28434"/>
    <n v="18270.5"/>
    <x v="3"/>
    <n v="10163.5"/>
    <s v="August"/>
    <x v="8"/>
    <n v="0.35744179503411411"/>
    <n v="2.6331330410629076E-4"/>
  </r>
  <r>
    <d v="2023-11-01T00:00:00"/>
    <x v="2"/>
    <s v="Ahmedabad"/>
    <x v="0"/>
    <s v="Jacket"/>
    <n v="6"/>
    <n v="31038.6"/>
    <n v="19994.11"/>
    <x v="4"/>
    <n v="11044.49"/>
    <s v="November"/>
    <x v="0"/>
    <n v="0.35583080422441737"/>
    <n v="2.8743322504162327E-4"/>
  </r>
  <r>
    <d v="2023-03-24T00:00:00"/>
    <x v="3"/>
    <s v="Jaipur"/>
    <x v="3"/>
    <s v="Cupboard"/>
    <n v="3"/>
    <n v="58536.15"/>
    <n v="36833.03"/>
    <x v="0"/>
    <n v="21703.119999999999"/>
    <s v="March"/>
    <x v="9"/>
    <n v="0.37076439089349056"/>
    <n v="5.4207452578467505E-4"/>
  </r>
  <r>
    <d v="2023-02-05T00:00:00"/>
    <x v="1"/>
    <s v="Bangalore"/>
    <x v="0"/>
    <s v="T-Shirt"/>
    <n v="5"/>
    <n v="154341"/>
    <n v="115180.2"/>
    <x v="2"/>
    <n v="39160.800000000003"/>
    <s v="February"/>
    <x v="2"/>
    <n v="0.25372908041285208"/>
    <n v="1.4292761718037921E-3"/>
  </r>
  <r>
    <d v="2023-06-23T00:00:00"/>
    <x v="3"/>
    <s v="Chandigarh"/>
    <x v="1"/>
    <s v="Bag"/>
    <n v="7"/>
    <n v="140567"/>
    <n v="79201.5"/>
    <x v="3"/>
    <n v="61365.5"/>
    <s v="June"/>
    <x v="7"/>
    <n v="0.43655694437528014"/>
    <n v="1.3017219251005476E-3"/>
  </r>
  <r>
    <d v="2023-03-16T00:00:00"/>
    <x v="2"/>
    <s v="Ahmedabad"/>
    <x v="3"/>
    <s v="Sofa"/>
    <n v="3"/>
    <n v="21480.45"/>
    <n v="12156.24"/>
    <x v="0"/>
    <n v="9324.2099999999991"/>
    <s v="March"/>
    <x v="9"/>
    <n v="0.43407889499521651"/>
    <n v="1.9891989390131439E-4"/>
  </r>
  <r>
    <d v="2023-10-03T00:00:00"/>
    <x v="1"/>
    <s v="Bangalore"/>
    <x v="3"/>
    <s v="Sofa"/>
    <n v="2"/>
    <n v="85723.199999999997"/>
    <n v="64548.42"/>
    <x v="2"/>
    <n v="21174.78"/>
    <s v="October"/>
    <x v="1"/>
    <n v="0.24701341060529705"/>
    <n v="7.9384043857931986E-4"/>
  </r>
  <r>
    <d v="2023-07-19T00:00:00"/>
    <x v="2"/>
    <s v="Pune"/>
    <x v="0"/>
    <s v="Jacket"/>
    <n v="1"/>
    <n v="26720"/>
    <n v="18689.57"/>
    <x v="3"/>
    <n v="8030.43"/>
    <s v="July"/>
    <x v="5"/>
    <n v="0.30054004491017966"/>
    <n v="2.4744079221073676E-4"/>
  </r>
  <r>
    <d v="2023-10-10T00:00:00"/>
    <x v="2"/>
    <s v="Pune"/>
    <x v="1"/>
    <s v="Belt"/>
    <n v="3"/>
    <n v="49711.199999999997"/>
    <n v="28007.72"/>
    <x v="1"/>
    <n v="21703.48"/>
    <s v="October"/>
    <x v="1"/>
    <n v="0.43659135164711377"/>
    <n v="4.6035099961625657E-4"/>
  </r>
  <r>
    <d v="2023-10-25T00:00:00"/>
    <x v="3"/>
    <s v="Jaipur"/>
    <x v="1"/>
    <s v="Bag"/>
    <n v="7"/>
    <n v="148057"/>
    <n v="111803.47"/>
    <x v="3"/>
    <n v="36253.53"/>
    <s v="October"/>
    <x v="1"/>
    <n v="0.24486197883247668"/>
    <n v="1.3710831351925544E-3"/>
  </r>
  <r>
    <d v="2023-07-28T00:00:00"/>
    <x v="3"/>
    <s v="Delhi"/>
    <x v="3"/>
    <s v="Sofa"/>
    <n v="4"/>
    <n v="141920"/>
    <n v="88979.37"/>
    <x v="3"/>
    <n v="52940.63"/>
    <s v="July"/>
    <x v="5"/>
    <n v="0.37303149661781282"/>
    <n v="1.3142513933588234E-3"/>
  </r>
  <r>
    <d v="2023-09-10T00:00:00"/>
    <x v="0"/>
    <s v="Kolkata"/>
    <x v="1"/>
    <s v="Wallet"/>
    <n v="3"/>
    <n v="90825.3"/>
    <n v="69001.2"/>
    <x v="2"/>
    <n v="21824.1"/>
    <s v="September"/>
    <x v="3"/>
    <n v="0.24028657213353546"/>
    <n v="8.4108847996923019E-4"/>
  </r>
  <r>
    <d v="2023-07-25T00:00:00"/>
    <x v="3"/>
    <s v="Jaipur"/>
    <x v="0"/>
    <s v="T-Shirt"/>
    <n v="4"/>
    <n v="171604.2"/>
    <n v="111876.42"/>
    <x v="0"/>
    <n v="59727.78"/>
    <s v="July"/>
    <x v="5"/>
    <n v="0.34805546717388031"/>
    <n v="1.5891421854300042E-3"/>
  </r>
  <r>
    <d v="2023-09-21T00:00:00"/>
    <x v="1"/>
    <s v="Hyderabad"/>
    <x v="0"/>
    <s v="Jeans"/>
    <n v="3"/>
    <n v="113093.7"/>
    <n v="80052.7"/>
    <x v="0"/>
    <n v="33041"/>
    <s v="September"/>
    <x v="3"/>
    <n v="0.29215597332123716"/>
    <n v="1.047305191693241E-3"/>
  </r>
  <r>
    <d v="2023-12-18T00:00:00"/>
    <x v="0"/>
    <s v="Bhubaneswar"/>
    <x v="3"/>
    <s v="Sofa"/>
    <n v="5"/>
    <n v="184053"/>
    <n v="136912.67000000001"/>
    <x v="0"/>
    <n v="47140.33"/>
    <s v="December"/>
    <x v="4"/>
    <n v="0.25612367089914317"/>
    <n v="1.7044244060165693E-3"/>
  </r>
  <r>
    <d v="2023-08-24T00:00:00"/>
    <x v="3"/>
    <s v="Chandigarh"/>
    <x v="1"/>
    <s v="Watch"/>
    <n v="5"/>
    <n v="201799"/>
    <n v="129612.28"/>
    <x v="0"/>
    <n v="72186.720000000001"/>
    <s v="August"/>
    <x v="8"/>
    <n v="0.35771594507405885"/>
    <n v="1.8687613932385654E-3"/>
  </r>
  <r>
    <d v="2023-07-11T00:00:00"/>
    <x v="1"/>
    <s v="Bangalore"/>
    <x v="2"/>
    <s v="Smartphone"/>
    <n v="2"/>
    <n v="44200"/>
    <n v="24677.61"/>
    <x v="1"/>
    <n v="19522.39"/>
    <s v="July"/>
    <x v="5"/>
    <n v="0.44168303167420814"/>
    <n v="4.0931448412105404E-4"/>
  </r>
  <r>
    <d v="2023-03-30T00:00:00"/>
    <x v="3"/>
    <s v="Delhi"/>
    <x v="3"/>
    <s v="Table"/>
    <n v="3"/>
    <n v="43163.25"/>
    <n v="24531.45"/>
    <x v="0"/>
    <n v="18631.8"/>
    <s v="March"/>
    <x v="9"/>
    <n v="0.43165887647477885"/>
    <n v="3.9971365173615582E-4"/>
  </r>
  <r>
    <d v="2023-09-29T00:00:00"/>
    <x v="2"/>
    <s v="Pune"/>
    <x v="2"/>
    <s v="Headphones"/>
    <n v="5"/>
    <n v="65216"/>
    <n v="49199.33"/>
    <x v="1"/>
    <n v="16016.67"/>
    <s v="September"/>
    <x v="3"/>
    <n v="0.24559417934249264"/>
    <n v="6.0393333476105565E-4"/>
  </r>
  <r>
    <d v="2023-05-12T00:00:00"/>
    <x v="1"/>
    <s v="Chennai"/>
    <x v="1"/>
    <s v="Watch"/>
    <n v="3"/>
    <n v="69323.399999999994"/>
    <n v="38926.18"/>
    <x v="0"/>
    <n v="30397.22"/>
    <s v="May"/>
    <x v="6"/>
    <n v="0.4384842636108443"/>
    <n v="6.4196994815650399E-4"/>
  </r>
  <r>
    <d v="2023-05-28T00:00:00"/>
    <x v="3"/>
    <s v="Jaipur"/>
    <x v="3"/>
    <s v="Table"/>
    <n v="6"/>
    <n v="67992"/>
    <n v="44794.19"/>
    <x v="3"/>
    <n v="23197.81"/>
    <s v="May"/>
    <x v="6"/>
    <n v="0.34118440404753503"/>
    <n v="6.2964050688594359E-4"/>
  </r>
  <r>
    <d v="2023-09-22T00:00:00"/>
    <x v="2"/>
    <s v="Ahmedabad"/>
    <x v="2"/>
    <s v="Laptop"/>
    <n v="1"/>
    <n v="38114"/>
    <n v="23055.49"/>
    <x v="0"/>
    <n v="15058.51"/>
    <s v="September"/>
    <x v="3"/>
    <n v="0.39509130503227163"/>
    <n v="3.5295502823053972E-4"/>
  </r>
  <r>
    <d v="2023-04-07T00:00:00"/>
    <x v="0"/>
    <s v="Patna"/>
    <x v="1"/>
    <s v="Bag"/>
    <n v="6"/>
    <n v="172747.2"/>
    <n v="100209.08"/>
    <x v="1"/>
    <n v="72538.12"/>
    <s v="April"/>
    <x v="11"/>
    <n v="0.4199090925931071"/>
    <n v="1.5997269468632704E-3"/>
  </r>
  <r>
    <d v="2023-03-23T00:00:00"/>
    <x v="1"/>
    <s v="Hyderabad"/>
    <x v="2"/>
    <s v="Tablet"/>
    <n v="1"/>
    <n v="607.75"/>
    <n v="412.11"/>
    <x v="4"/>
    <n v="195.64"/>
    <s v="March"/>
    <x v="9"/>
    <n v="0.32190867955573838"/>
    <n v="5.6280741566644933E-6"/>
  </r>
  <r>
    <d v="2023-07-07T00:00:00"/>
    <x v="0"/>
    <s v="Bhubaneswar"/>
    <x v="0"/>
    <s v="Shirt"/>
    <n v="1"/>
    <n v="10845"/>
    <n v="7996.5"/>
    <x v="3"/>
    <n v="2848.5"/>
    <s v="July"/>
    <x v="5"/>
    <n v="0.26265560165975105"/>
    <n v="1.0043021674870659E-4"/>
  </r>
  <r>
    <d v="2023-04-23T00:00:00"/>
    <x v="1"/>
    <s v="Chennai"/>
    <x v="1"/>
    <s v="Bag"/>
    <n v="7"/>
    <n v="43231.65"/>
    <n v="26744.25"/>
    <x v="0"/>
    <n v="16487.400000000001"/>
    <s v="April"/>
    <x v="11"/>
    <n v="0.38137336881659617"/>
    <n v="4.0034707053058751E-4"/>
  </r>
  <r>
    <d v="2023-03-20T00:00:00"/>
    <x v="3"/>
    <s v="Chandigarh"/>
    <x v="3"/>
    <s v="Chair"/>
    <n v="1"/>
    <n v="655.20000000000005"/>
    <n v="471.02"/>
    <x v="2"/>
    <n v="184.18"/>
    <s v="March"/>
    <x v="9"/>
    <n v="0.28110500610500611"/>
    <n v="6.0674852940297429E-6"/>
  </r>
  <r>
    <d v="2023-11-19T00:00:00"/>
    <x v="1"/>
    <s v="Hyderabad"/>
    <x v="3"/>
    <s v="Sofa"/>
    <n v="6"/>
    <n v="18861.3"/>
    <n v="12546.22"/>
    <x v="0"/>
    <n v="6315.08"/>
    <s v="November"/>
    <x v="0"/>
    <n v="0.33481679417643534"/>
    <n v="1.7466523256453478E-4"/>
  </r>
  <r>
    <d v="2023-11-01T00:00:00"/>
    <x v="0"/>
    <s v="Patna"/>
    <x v="3"/>
    <s v="Sofa"/>
    <n v="6"/>
    <n v="215648.1"/>
    <n v="147632.42000000001"/>
    <x v="0"/>
    <n v="68015.679999999993"/>
    <s v="November"/>
    <x v="0"/>
    <n v="0.31540124860826502"/>
    <n v="1.9970111041444677E-3"/>
  </r>
  <r>
    <d v="2023-11-28T00:00:00"/>
    <x v="2"/>
    <s v="Pune"/>
    <x v="0"/>
    <s v="T-Shirt"/>
    <n v="5"/>
    <n v="178945"/>
    <n v="98732.11"/>
    <x v="3"/>
    <n v="80212.89"/>
    <s v="November"/>
    <x v="0"/>
    <n v="0.44825443572047274"/>
    <n v="1.657121727625385E-3"/>
  </r>
  <r>
    <d v="2023-11-24T00:00:00"/>
    <x v="1"/>
    <s v="Hyderabad"/>
    <x v="1"/>
    <s v="Belt"/>
    <n v="6"/>
    <n v="102423.3"/>
    <n v="77522.240000000005"/>
    <x v="4"/>
    <n v="24901.06"/>
    <s v="November"/>
    <x v="0"/>
    <n v="0.24311909497155432"/>
    <n v="9.4849185976189946E-4"/>
  </r>
  <r>
    <d v="2023-04-09T00:00:00"/>
    <x v="3"/>
    <s v="Chandigarh"/>
    <x v="2"/>
    <s v="Laptop"/>
    <n v="7"/>
    <n v="176106"/>
    <n v="109685.91"/>
    <x v="3"/>
    <n v="66420.09"/>
    <s v="April"/>
    <x v="11"/>
    <n v="0.37715972198562225"/>
    <n v="1.6308311434529942E-3"/>
  </r>
  <r>
    <d v="2023-02-11T00:00:00"/>
    <x v="1"/>
    <s v="Chennai"/>
    <x v="2"/>
    <s v="Smartphone"/>
    <n v="3"/>
    <n v="107383.2"/>
    <n v="78857.119999999995"/>
    <x v="1"/>
    <n v="28526.080000000002"/>
    <s v="February"/>
    <x v="2"/>
    <n v="0.26564751283254739"/>
    <n v="9.9442305681601752E-4"/>
  </r>
  <r>
    <d v="2023-07-26T00:00:00"/>
    <x v="1"/>
    <s v="Bangalore"/>
    <x v="0"/>
    <s v="Jeans"/>
    <n v="2"/>
    <n v="83162"/>
    <n v="52280.39"/>
    <x v="3"/>
    <n v="30881.61"/>
    <s v="July"/>
    <x v="5"/>
    <n v="0.37134280079844162"/>
    <n v="7.7012242372115607E-4"/>
  </r>
  <r>
    <d v="2023-10-18T00:00:00"/>
    <x v="1"/>
    <s v="Chennai"/>
    <x v="0"/>
    <s v="Shirt"/>
    <n v="7"/>
    <n v="174762"/>
    <n v="99200.84"/>
    <x v="3"/>
    <n v="75561.16"/>
    <s v="October"/>
    <x v="1"/>
    <n v="0.43236607500486379"/>
    <n v="1.6183850197729333E-3"/>
  </r>
  <r>
    <d v="2023-08-07T00:00:00"/>
    <x v="1"/>
    <s v="Bangalore"/>
    <x v="2"/>
    <s v="Headphones"/>
    <n v="5"/>
    <n v="144100"/>
    <n v="85446.85"/>
    <x v="1"/>
    <n v="58653.15"/>
    <s v="August"/>
    <x v="8"/>
    <n v="0.40703088133240806"/>
    <n v="1.3344393023041604E-3"/>
  </r>
  <r>
    <d v="2023-03-06T00:00:00"/>
    <x v="3"/>
    <s v="Delhi"/>
    <x v="1"/>
    <s v="Wallet"/>
    <n v="3"/>
    <n v="1596"/>
    <n v="1082"/>
    <x v="0"/>
    <n v="514"/>
    <s v="March"/>
    <x v="9"/>
    <n v="0.32205513784461154"/>
    <n v="1.4779771870072449E-5"/>
  </r>
  <r>
    <d v="2023-04-18T00:00:00"/>
    <x v="2"/>
    <s v="Pune"/>
    <x v="1"/>
    <s v="Belt"/>
    <n v="1"/>
    <n v="10592.7"/>
    <n v="7430.58"/>
    <x v="4"/>
    <n v="3162.12"/>
    <s v="April"/>
    <x v="11"/>
    <n v="0.29851879124302583"/>
    <n v="9.8093790406088004E-5"/>
  </r>
  <r>
    <d v="2023-05-05T00:00:00"/>
    <x v="0"/>
    <s v="Patna"/>
    <x v="3"/>
    <s v="Chair"/>
    <n v="4"/>
    <n v="79952.399999999994"/>
    <n v="57984.19"/>
    <x v="2"/>
    <n v="21968.21"/>
    <s v="May"/>
    <x v="6"/>
    <n v="0.27476611083594737"/>
    <n v="7.4039989502805794E-4"/>
  </r>
  <r>
    <d v="2023-08-27T00:00:00"/>
    <x v="3"/>
    <s v="Delhi"/>
    <x v="1"/>
    <s v="Bag"/>
    <n v="6"/>
    <n v="226338"/>
    <n v="162021.94"/>
    <x v="4"/>
    <n v="64316.06"/>
    <s v="August"/>
    <x v="8"/>
    <n v="0.28415935459357244"/>
    <n v="2.0960050159952747E-3"/>
  </r>
  <r>
    <d v="2023-01-23T00:00:00"/>
    <x v="3"/>
    <s v="Chandigarh"/>
    <x v="3"/>
    <s v="Sofa"/>
    <n v="2"/>
    <n v="28456"/>
    <n v="16973.73"/>
    <x v="1"/>
    <n v="11482.27"/>
    <s v="January"/>
    <x v="10"/>
    <n v="0.40350962890075909"/>
    <n v="2.6351703529748223E-4"/>
  </r>
  <r>
    <d v="2023-02-05T00:00:00"/>
    <x v="1"/>
    <s v="Bangalore"/>
    <x v="0"/>
    <s v="Jacket"/>
    <n v="4"/>
    <n v="188776.4"/>
    <n v="138500.93"/>
    <x v="0"/>
    <n v="50275.47"/>
    <s v="February"/>
    <x v="2"/>
    <n v="0.26632285603497047"/>
    <n v="1.7481654927653789E-3"/>
  </r>
  <r>
    <d v="2023-04-07T00:00:00"/>
    <x v="3"/>
    <s v="Jaipur"/>
    <x v="1"/>
    <s v="Belt"/>
    <n v="1"/>
    <n v="29126.400000000001"/>
    <n v="19687.18"/>
    <x v="1"/>
    <n v="9439.2199999999993"/>
    <s v="April"/>
    <x v="11"/>
    <n v="0.32407781256866619"/>
    <n v="2.6972528032360792E-4"/>
  </r>
  <r>
    <d v="2023-03-08T00:00:00"/>
    <x v="2"/>
    <s v="Ahmedabad"/>
    <x v="3"/>
    <s v="Sofa"/>
    <n v="6"/>
    <n v="235752"/>
    <n v="174926.21"/>
    <x v="0"/>
    <n v="60825.79"/>
    <s v="March"/>
    <x v="9"/>
    <n v="0.25800752485662898"/>
    <n v="2.1831834448078446E-3"/>
  </r>
  <r>
    <d v="2023-10-14T00:00:00"/>
    <x v="0"/>
    <s v="Kolkata"/>
    <x v="3"/>
    <s v="Chair"/>
    <n v="1"/>
    <n v="21249"/>
    <n v="16074.55"/>
    <x v="2"/>
    <n v="5174.45"/>
    <s v="October"/>
    <x v="1"/>
    <n v="0.24351498894065601"/>
    <n v="1.9677654916489315E-4"/>
  </r>
  <r>
    <d v="2023-04-13T00:00:00"/>
    <x v="1"/>
    <s v="Hyderabad"/>
    <x v="0"/>
    <s v="T-Shirt"/>
    <n v="1"/>
    <n v="17448.8"/>
    <n v="12369.65"/>
    <x v="4"/>
    <n v="5079.1499999999996"/>
    <s v="April"/>
    <x v="11"/>
    <n v="0.29108878547521894"/>
    <n v="1.6158476403917304E-4"/>
  </r>
  <r>
    <d v="2023-07-28T00:00:00"/>
    <x v="1"/>
    <s v="Hyderabad"/>
    <x v="3"/>
    <s v="Table"/>
    <n v="6"/>
    <n v="148488"/>
    <n v="95853.59"/>
    <x v="1"/>
    <n v="52634.41"/>
    <s v="July"/>
    <x v="5"/>
    <n v="0.35446911534938852"/>
    <n v="1.3750744144381691E-3"/>
  </r>
  <r>
    <d v="2023-02-25T00:00:00"/>
    <x v="3"/>
    <s v="Chandigarh"/>
    <x v="0"/>
    <s v="Jacket"/>
    <n v="7"/>
    <n v="39696.300000000003"/>
    <n v="28212.11"/>
    <x v="2"/>
    <n v="11484.19"/>
    <s v="February"/>
    <x v="2"/>
    <n v="0.28930126989165234"/>
    <n v="3.6760793113155201E-4"/>
  </r>
  <r>
    <d v="2023-07-06T00:00:00"/>
    <x v="2"/>
    <s v="Mumbai"/>
    <x v="1"/>
    <s v="Belt"/>
    <n v="6"/>
    <n v="173063.4"/>
    <n v="104014.9"/>
    <x v="4"/>
    <n v="69048.5"/>
    <s v="July"/>
    <x v="5"/>
    <n v="0.39897806237482913"/>
    <n v="1.6026551197112133E-3"/>
  </r>
  <r>
    <d v="2023-08-03T00:00:00"/>
    <x v="1"/>
    <s v="Chennai"/>
    <x v="3"/>
    <s v="Sofa"/>
    <n v="4"/>
    <n v="74051.199999999997"/>
    <n v="47076.75"/>
    <x v="1"/>
    <n v="26974.45"/>
    <s v="August"/>
    <x v="8"/>
    <n v="0.36426756082278211"/>
    <n v="6.8575178114355193E-4"/>
  </r>
  <r>
    <d v="2023-04-11T00:00:00"/>
    <x v="2"/>
    <s v="Pune"/>
    <x v="1"/>
    <s v="Belt"/>
    <n v="2"/>
    <n v="2685.6"/>
    <n v="1514.5"/>
    <x v="2"/>
    <n v="1171.0999999999999"/>
    <s v="April"/>
    <x v="11"/>
    <n v="0.43606642835865356"/>
    <n v="2.4870022139264767E-5"/>
  </r>
  <r>
    <d v="2023-08-17T00:00:00"/>
    <x v="2"/>
    <s v="Ahmedabad"/>
    <x v="2"/>
    <s v="Smartphone"/>
    <n v="1"/>
    <n v="17227"/>
    <n v="9861.42"/>
    <x v="3"/>
    <n v="7365.58"/>
    <s v="August"/>
    <x v="8"/>
    <n v="0.42756022522784004"/>
    <n v="1.5953078321161534E-4"/>
  </r>
  <r>
    <d v="2023-09-30T00:00:00"/>
    <x v="3"/>
    <s v="Chandigarh"/>
    <x v="1"/>
    <s v="Watch"/>
    <n v="4"/>
    <n v="40132"/>
    <n v="25512.3"/>
    <x v="3"/>
    <n v="14619.7"/>
    <s v="September"/>
    <x v="3"/>
    <n v="0.36429034187182302"/>
    <n v="3.7164273476801227E-4"/>
  </r>
  <r>
    <d v="2023-07-02T00:00:00"/>
    <x v="3"/>
    <s v="Chandigarh"/>
    <x v="1"/>
    <s v="Bag"/>
    <n v="2"/>
    <n v="29795.200000000001"/>
    <n v="20459.45"/>
    <x v="1"/>
    <n v="9335.75"/>
    <s v="July"/>
    <x v="5"/>
    <n v="0.313330670712061"/>
    <n v="2.7591870853582875E-4"/>
  </r>
  <r>
    <d v="2023-03-23T00:00:00"/>
    <x v="3"/>
    <s v="Chandigarh"/>
    <x v="2"/>
    <s v="Laptop"/>
    <n v="2"/>
    <n v="24420.5"/>
    <n v="19026.560000000001"/>
    <x v="4"/>
    <n v="5393.94"/>
    <s v="March"/>
    <x v="9"/>
    <n v="0.22087754140988103"/>
    <n v="2.2614625247688238E-4"/>
  </r>
  <r>
    <d v="2023-02-16T00:00:00"/>
    <x v="3"/>
    <s v="Delhi"/>
    <x v="3"/>
    <s v="Chair"/>
    <n v="5"/>
    <n v="40060.5"/>
    <n v="31568.3"/>
    <x v="4"/>
    <n v="8492.2000000000007"/>
    <s v="February"/>
    <x v="2"/>
    <n v="0.21198437363487727"/>
    <n v="3.7098060839663995E-4"/>
  </r>
  <r>
    <d v="2023-01-19T00:00:00"/>
    <x v="0"/>
    <s v="Kolkata"/>
    <x v="2"/>
    <s v="Tablet"/>
    <n v="3"/>
    <n v="105105.9"/>
    <n v="63772.44"/>
    <x v="4"/>
    <n v="41333.46"/>
    <s v="January"/>
    <x v="10"/>
    <n v="0.39325537386578679"/>
    <n v="9.7333410037509264E-4"/>
  </r>
  <r>
    <d v="2023-06-30T00:00:00"/>
    <x v="1"/>
    <s v="Chennai"/>
    <x v="2"/>
    <s v="Smartphone"/>
    <n v="2"/>
    <n v="14200.1"/>
    <n v="10026.129999999999"/>
    <x v="4"/>
    <n v="4173.97"/>
    <s v="June"/>
    <x v="7"/>
    <n v="0.29393947929944159"/>
    <n v="1.3150014945627556E-4"/>
  </r>
  <r>
    <d v="2023-06-26T00:00:00"/>
    <x v="0"/>
    <s v="Patna"/>
    <x v="2"/>
    <s v="Smartphone"/>
    <n v="3"/>
    <n v="12413.4"/>
    <n v="9192.66"/>
    <x v="4"/>
    <n v="3220.74"/>
    <s v="June"/>
    <x v="7"/>
    <n v="0.25945671612934407"/>
    <n v="1.1495439857892064E-4"/>
  </r>
  <r>
    <d v="2023-11-04T00:00:00"/>
    <x v="2"/>
    <s v="Ahmedabad"/>
    <x v="0"/>
    <s v="Jacket"/>
    <n v="1"/>
    <n v="28251.1"/>
    <n v="18103.7"/>
    <x v="0"/>
    <n v="10147.4"/>
    <s v="November"/>
    <x v="0"/>
    <n v="0.35918601399591521"/>
    <n v="2.6161955706679432E-4"/>
  </r>
  <r>
    <d v="2023-07-08T00:00:00"/>
    <x v="2"/>
    <s v="Mumbai"/>
    <x v="3"/>
    <s v="Sofa"/>
    <n v="6"/>
    <n v="98088.3"/>
    <n v="73691.22"/>
    <x v="4"/>
    <n v="24397.08"/>
    <s v="July"/>
    <x v="5"/>
    <n v="0.24872568899654701"/>
    <n v="9.0834755458848841E-4"/>
  </r>
  <r>
    <d v="2023-12-14T00:00:00"/>
    <x v="1"/>
    <s v="Chennai"/>
    <x v="2"/>
    <s v="Laptop"/>
    <n v="1"/>
    <n v="23101.15"/>
    <n v="16075.06"/>
    <x v="0"/>
    <n v="7026.09"/>
    <s v="December"/>
    <x v="4"/>
    <n v="0.30414459886196138"/>
    <n v="2.1392840033604272E-4"/>
  </r>
  <r>
    <d v="2023-06-10T00:00:00"/>
    <x v="1"/>
    <s v="Hyderabad"/>
    <x v="2"/>
    <s v="Smartphone"/>
    <n v="3"/>
    <n v="55851.45"/>
    <n v="39046.22"/>
    <x v="0"/>
    <n v="16805.23"/>
    <s v="June"/>
    <x v="7"/>
    <n v="0.30089156145453699"/>
    <n v="5.1721283810323175E-4"/>
  </r>
  <r>
    <d v="2023-01-02T00:00:00"/>
    <x v="1"/>
    <s v="Bangalore"/>
    <x v="2"/>
    <s v="Headphones"/>
    <n v="7"/>
    <n v="20884.5"/>
    <n v="14260.76"/>
    <x v="4"/>
    <n v="6623.74"/>
    <s v="January"/>
    <x v="10"/>
    <n v="0.31716057363116185"/>
    <n v="1.9340109374719805E-4"/>
  </r>
  <r>
    <d v="2023-08-04T00:00:00"/>
    <x v="1"/>
    <s v="Chennai"/>
    <x v="2"/>
    <s v="Headphones"/>
    <n v="2"/>
    <n v="84030"/>
    <n v="61074.66"/>
    <x v="3"/>
    <n v="22955.34"/>
    <s v="August"/>
    <x v="8"/>
    <n v="0.27318029275258837"/>
    <n v="7.781605452645288E-4"/>
  </r>
  <r>
    <d v="2023-08-22T00:00:00"/>
    <x v="1"/>
    <s v="Chennai"/>
    <x v="1"/>
    <s v="Bag"/>
    <n v="5"/>
    <n v="32159.75"/>
    <n v="18120.27"/>
    <x v="4"/>
    <n v="14039.48"/>
    <s v="August"/>
    <x v="8"/>
    <n v="0.43655438863797136"/>
    <n v="2.9781564436000155E-4"/>
  </r>
  <r>
    <d v="2023-10-03T00:00:00"/>
    <x v="3"/>
    <s v="Jaipur"/>
    <x v="0"/>
    <s v="T-Shirt"/>
    <n v="7"/>
    <n v="95872.35"/>
    <n v="70422.27"/>
    <x v="4"/>
    <n v="25450.080000000002"/>
    <s v="October"/>
    <x v="1"/>
    <n v="0.26545797615266548"/>
    <n v="8.8782673035572716E-4"/>
  </r>
  <r>
    <d v="2023-12-05T00:00:00"/>
    <x v="0"/>
    <s v="Patna"/>
    <x v="0"/>
    <s v="Jacket"/>
    <n v="4"/>
    <n v="27162.6"/>
    <n v="17779.900000000001"/>
    <x v="4"/>
    <n v="9382.7000000000007"/>
    <s v="December"/>
    <x v="4"/>
    <n v="0.34542716823868119"/>
    <n v="2.5153949335716161E-4"/>
  </r>
  <r>
    <d v="2023-05-03T00:00:00"/>
    <x v="1"/>
    <s v="Bangalore"/>
    <x v="3"/>
    <s v="Table"/>
    <n v="5"/>
    <n v="213213.25"/>
    <n v="134742.39999999999"/>
    <x v="0"/>
    <n v="78470.850000000006"/>
    <s v="May"/>
    <x v="6"/>
    <n v="0.36803927523266028"/>
    <n v="1.9744631545593515E-3"/>
  </r>
  <r>
    <d v="2023-06-04T00:00:00"/>
    <x v="1"/>
    <s v="Chennai"/>
    <x v="2"/>
    <s v="Tablet"/>
    <n v="7"/>
    <n v="31972.5"/>
    <n v="20302.57"/>
    <x v="2"/>
    <n v="11669.93"/>
    <s v="June"/>
    <x v="7"/>
    <n v="0.36499898350144655"/>
    <n v="2.9608161410770139E-4"/>
  </r>
  <r>
    <d v="2023-03-10T00:00:00"/>
    <x v="3"/>
    <s v="Jaipur"/>
    <x v="2"/>
    <s v="Headphones"/>
    <n v="7"/>
    <n v="280980"/>
    <n v="173794.58"/>
    <x v="2"/>
    <n v="107185.42"/>
    <s v="March"/>
    <x v="9"/>
    <n v="0.38146992668517332"/>
    <n v="2.6020177318627552E-3"/>
  </r>
  <r>
    <d v="2023-11-24T00:00:00"/>
    <x v="0"/>
    <s v="Kolkata"/>
    <x v="2"/>
    <s v="Laptop"/>
    <n v="7"/>
    <n v="160783"/>
    <n v="109255.15"/>
    <x v="3"/>
    <n v="51527.85"/>
    <s v="November"/>
    <x v="0"/>
    <n v="0.32048071002531359"/>
    <n v="1.4889323687881321E-3"/>
  </r>
  <r>
    <d v="2023-01-14T00:00:00"/>
    <x v="3"/>
    <s v="Delhi"/>
    <x v="0"/>
    <s v="Jeans"/>
    <n v="2"/>
    <n v="35683.199999999997"/>
    <n v="22357.91"/>
    <x v="2"/>
    <n v="13325.29"/>
    <s v="January"/>
    <x v="10"/>
    <n v="0.37343315621917322"/>
    <n v="3.304445837056198E-4"/>
  </r>
  <r>
    <d v="2023-05-25T00:00:00"/>
    <x v="1"/>
    <s v="Chennai"/>
    <x v="1"/>
    <s v="Belt"/>
    <n v="6"/>
    <n v="21318"/>
    <n v="15594.57"/>
    <x v="0"/>
    <n v="5723.43"/>
    <s v="May"/>
    <x v="6"/>
    <n v="0.2684787503518154"/>
    <n v="1.9741552426453916E-4"/>
  </r>
  <r>
    <d v="2023-12-20T00:00:00"/>
    <x v="0"/>
    <s v="Patna"/>
    <x v="0"/>
    <s v="Jacket"/>
    <n v="1"/>
    <n v="34162.35"/>
    <n v="20280.39"/>
    <x v="4"/>
    <n v="13881.96"/>
    <s v="December"/>
    <x v="4"/>
    <n v="0.40635260747577379"/>
    <n v="3.1636073906364005E-4"/>
  </r>
  <r>
    <d v="2023-03-22T00:00:00"/>
    <x v="1"/>
    <s v="Bangalore"/>
    <x v="3"/>
    <s v="Chair"/>
    <n v="4"/>
    <n v="9878.4"/>
    <n v="7711.58"/>
    <x v="2"/>
    <n v="2166.8200000000002"/>
    <s v="March"/>
    <x v="9"/>
    <n v="0.21934928733398124"/>
    <n v="9.1479009048448429E-5"/>
  </r>
  <r>
    <d v="2023-01-08T00:00:00"/>
    <x v="1"/>
    <s v="Chennai"/>
    <x v="3"/>
    <s v="Cupboard"/>
    <n v="5"/>
    <n v="119076.5"/>
    <n v="80072.570000000007"/>
    <x v="4"/>
    <n v="39003.93"/>
    <s v="January"/>
    <x v="10"/>
    <n v="0.32755354750937421"/>
    <n v="1.1027089630868934E-3"/>
  </r>
  <r>
    <d v="2023-01-08T00:00:00"/>
    <x v="1"/>
    <s v="Hyderabad"/>
    <x v="1"/>
    <s v="Watch"/>
    <n v="4"/>
    <n v="6544"/>
    <n v="4916.47"/>
    <x v="1"/>
    <n v="1627.53"/>
    <s v="January"/>
    <x v="10"/>
    <n v="0.24870568459657702"/>
    <n v="6.0600768870773251E-5"/>
  </r>
  <r>
    <d v="2023-05-29T00:00:00"/>
    <x v="2"/>
    <s v="Mumbai"/>
    <x v="3"/>
    <s v="Cupboard"/>
    <n v="5"/>
    <n v="67682.75"/>
    <n v="41908.379999999997"/>
    <x v="0"/>
    <n v="25774.37"/>
    <s v="May"/>
    <x v="6"/>
    <n v="0.38081150662465696"/>
    <n v="6.2677669457339978E-4"/>
  </r>
  <r>
    <d v="2023-10-21T00:00:00"/>
    <x v="2"/>
    <s v="Pune"/>
    <x v="3"/>
    <s v="Sofa"/>
    <n v="4"/>
    <n v="125740"/>
    <n v="79464.03"/>
    <x v="3"/>
    <n v="46275.97"/>
    <s v="October"/>
    <x v="1"/>
    <n v="0.36802902815333227"/>
    <n v="1.1644163627461842E-3"/>
  </r>
  <r>
    <d v="2023-02-20T00:00:00"/>
    <x v="1"/>
    <s v="Bangalore"/>
    <x v="1"/>
    <s v="Bag"/>
    <n v="4"/>
    <n v="149070.20000000001"/>
    <n v="83839.37"/>
    <x v="0"/>
    <n v="65230.83"/>
    <s v="February"/>
    <x v="2"/>
    <n v="0.43758464133005792"/>
    <n v="1.3804658825977908E-3"/>
  </r>
  <r>
    <d v="2023-12-07T00:00:00"/>
    <x v="1"/>
    <s v="Chennai"/>
    <x v="1"/>
    <s v="Belt"/>
    <n v="2"/>
    <n v="77995.199999999997"/>
    <n v="52997.94"/>
    <x v="1"/>
    <n v="24997.26"/>
    <s v="December"/>
    <x v="4"/>
    <n v="0.32049741522555231"/>
    <n v="7.2227522741896916E-4"/>
  </r>
  <r>
    <d v="2023-11-09T00:00:00"/>
    <x v="3"/>
    <s v="Chandigarh"/>
    <x v="0"/>
    <s v="Shirt"/>
    <n v="1"/>
    <n v="46616.5"/>
    <n v="26511.919999999998"/>
    <x v="0"/>
    <n v="20104.580000000002"/>
    <s v="November"/>
    <x v="0"/>
    <n v="0.43127605032552857"/>
    <n v="4.3169250337169948E-4"/>
  </r>
  <r>
    <d v="2023-08-22T00:00:00"/>
    <x v="2"/>
    <s v="Pune"/>
    <x v="0"/>
    <s v="Jeans"/>
    <n v="6"/>
    <n v="91290"/>
    <n v="58836.27"/>
    <x v="4"/>
    <n v="32453.73"/>
    <s v="August"/>
    <x v="8"/>
    <n v="0.355501478803812"/>
    <n v="8.4539183835771552E-4"/>
  </r>
  <r>
    <d v="2023-12-09T00:00:00"/>
    <x v="1"/>
    <s v="Bangalore"/>
    <x v="0"/>
    <s v="Jacket"/>
    <n v="2"/>
    <n v="67095.600000000006"/>
    <n v="44030.71"/>
    <x v="4"/>
    <n v="23064.89"/>
    <s v="December"/>
    <x v="4"/>
    <n v="0.34376158794317357"/>
    <n v="6.2133938689576016E-4"/>
  </r>
  <r>
    <d v="2023-08-17T00:00:00"/>
    <x v="3"/>
    <s v="Jaipur"/>
    <x v="1"/>
    <s v="Belt"/>
    <n v="1"/>
    <n v="22120.75"/>
    <n v="12722.54"/>
    <x v="0"/>
    <n v="9398.2099999999991"/>
    <s v="August"/>
    <x v="8"/>
    <n v="0.42485946452990964"/>
    <n v="2.0484939761585536E-4"/>
  </r>
  <r>
    <d v="2023-11-05T00:00:00"/>
    <x v="1"/>
    <s v="Hyderabad"/>
    <x v="0"/>
    <s v="Jeans"/>
    <n v="5"/>
    <n v="151060"/>
    <n v="116497.77"/>
    <x v="1"/>
    <n v="34562.230000000003"/>
    <s v="November"/>
    <x v="0"/>
    <n v="0.22879802727393092"/>
    <n v="1.3988924427901907E-3"/>
  </r>
  <r>
    <d v="2023-06-10T00:00:00"/>
    <x v="1"/>
    <s v="Hyderabad"/>
    <x v="1"/>
    <s v="Watch"/>
    <n v="3"/>
    <n v="142058.25"/>
    <n v="98184.98"/>
    <x v="0"/>
    <n v="43873.27"/>
    <s v="June"/>
    <x v="7"/>
    <n v="0.30884000049275562"/>
    <n v="1.3155316586852879E-3"/>
  </r>
  <r>
    <d v="2023-12-16T00:00:00"/>
    <x v="0"/>
    <s v="Kolkata"/>
    <x v="1"/>
    <s v="Watch"/>
    <n v="4"/>
    <n v="101480.4"/>
    <n v="73197.17"/>
    <x v="2"/>
    <n v="28283.23"/>
    <s v="December"/>
    <x v="4"/>
    <n v="0.27870633146893392"/>
    <n v="9.3976012611760658E-4"/>
  </r>
  <r>
    <d v="2023-02-03T00:00:00"/>
    <x v="0"/>
    <s v="Patna"/>
    <x v="0"/>
    <s v="Jacket"/>
    <n v="6"/>
    <n v="136338"/>
    <n v="78245.77"/>
    <x v="3"/>
    <n v="58092.23"/>
    <s v="February"/>
    <x v="2"/>
    <n v="0.42608979154747761"/>
    <n v="1.2625592338483319E-3"/>
  </r>
  <r>
    <d v="2023-07-01T00:00:00"/>
    <x v="3"/>
    <s v="Delhi"/>
    <x v="1"/>
    <s v="Bag"/>
    <n v="1"/>
    <n v="25064.799999999999"/>
    <n v="14817.05"/>
    <x v="1"/>
    <n v="10247.75"/>
    <s v="July"/>
    <x v="5"/>
    <n v="0.40885026012575404"/>
    <n v="2.3211279822618543E-4"/>
  </r>
  <r>
    <d v="2023-09-12T00:00:00"/>
    <x v="3"/>
    <s v="Jaipur"/>
    <x v="2"/>
    <s v="Tablet"/>
    <n v="2"/>
    <n v="5693.4"/>
    <n v="3277.07"/>
    <x v="2"/>
    <n v="2416.33"/>
    <s v="September"/>
    <x v="3"/>
    <n v="0.42440896476622053"/>
    <n v="5.2723780178615589E-5"/>
  </r>
  <r>
    <d v="2023-09-15T00:00:00"/>
    <x v="2"/>
    <s v="Pune"/>
    <x v="0"/>
    <s v="Shirt"/>
    <n v="4"/>
    <n v="75587.199999999997"/>
    <n v="57836.83"/>
    <x v="1"/>
    <n v="17750.37"/>
    <s v="September"/>
    <x v="3"/>
    <n v="0.23483301405528978"/>
    <n v="6.9997592249219313E-4"/>
  </r>
  <r>
    <d v="2023-09-28T00:00:00"/>
    <x v="0"/>
    <s v="Kolkata"/>
    <x v="0"/>
    <s v="Jeans"/>
    <n v="2"/>
    <n v="23825.5"/>
    <n v="17881.27"/>
    <x v="4"/>
    <n v="5944.23"/>
    <s v="September"/>
    <x v="3"/>
    <n v="0.24949025204088054"/>
    <n v="2.2063624980602203E-4"/>
  </r>
  <r>
    <d v="2023-06-27T00:00:00"/>
    <x v="3"/>
    <s v="Delhi"/>
    <x v="2"/>
    <s v="Tablet"/>
    <n v="2"/>
    <n v="79115.199999999997"/>
    <n v="48884.3"/>
    <x v="1"/>
    <n v="30230.9"/>
    <s v="June"/>
    <x v="7"/>
    <n v="0.38211241329099849"/>
    <n v="7.326469971523533E-4"/>
  </r>
  <r>
    <d v="2023-09-12T00:00:00"/>
    <x v="0"/>
    <s v="Patna"/>
    <x v="1"/>
    <s v="Belt"/>
    <n v="7"/>
    <n v="228640.65"/>
    <n v="164415.4"/>
    <x v="4"/>
    <n v="64225.25"/>
    <s v="September"/>
    <x v="3"/>
    <n v="0.28090039981954218"/>
    <n v="2.117328726331504E-3"/>
  </r>
  <r>
    <d v="2023-05-31T00:00:00"/>
    <x v="0"/>
    <s v="Kolkata"/>
    <x v="3"/>
    <s v="Chair"/>
    <n v="4"/>
    <n v="78329.2"/>
    <n v="55155.94"/>
    <x v="4"/>
    <n v="23173.26"/>
    <s v="May"/>
    <x v="6"/>
    <n v="0.29584446158010036"/>
    <n v="7.2536823732160334E-4"/>
  </r>
  <r>
    <d v="2023-05-31T00:00:00"/>
    <x v="3"/>
    <s v="Delhi"/>
    <x v="1"/>
    <s v="Watch"/>
    <n v="5"/>
    <n v="80514"/>
    <n v="61336.959999999999"/>
    <x v="2"/>
    <n v="19177.04"/>
    <s v="May"/>
    <x v="6"/>
    <n v="0.23818267630474205"/>
    <n v="7.4560059670865494E-4"/>
  </r>
  <r>
    <d v="2023-10-27T00:00:00"/>
    <x v="0"/>
    <s v="Patna"/>
    <x v="2"/>
    <s v="Tablet"/>
    <n v="4"/>
    <n v="16675.2"/>
    <n v="10496.64"/>
    <x v="1"/>
    <n v="6178.56"/>
    <s v="October"/>
    <x v="1"/>
    <n v="0.37052389176741507"/>
    <n v="1.5442083451618554E-4"/>
  </r>
  <r>
    <d v="2023-09-01T00:00:00"/>
    <x v="2"/>
    <s v="Pune"/>
    <x v="2"/>
    <s v="Headphones"/>
    <n v="1"/>
    <n v="26831"/>
    <n v="18368.259999999998"/>
    <x v="3"/>
    <n v="8462.74"/>
    <s v="September"/>
    <x v="3"/>
    <n v="0.31540904178003054"/>
    <n v="2.4846870867538466E-4"/>
  </r>
  <r>
    <d v="2023-12-31T00:00:00"/>
    <x v="1"/>
    <s v="Hyderabad"/>
    <x v="2"/>
    <s v="Smartphone"/>
    <n v="6"/>
    <n v="234494.4"/>
    <n v="155075.49"/>
    <x v="1"/>
    <n v="79418.91"/>
    <s v="December"/>
    <x v="4"/>
    <n v="0.33868147810779281"/>
    <n v="2.1715374290786449E-3"/>
  </r>
  <r>
    <d v="2023-03-12T00:00:00"/>
    <x v="2"/>
    <s v="Pune"/>
    <x v="3"/>
    <s v="Sofa"/>
    <n v="2"/>
    <n v="71197.7"/>
    <n v="50345.71"/>
    <x v="4"/>
    <n v="20851.990000000002"/>
    <s v="March"/>
    <x v="9"/>
    <n v="0.29287448892309725"/>
    <n v="6.5932691959514863E-4"/>
  </r>
  <r>
    <d v="2023-09-18T00:00:00"/>
    <x v="2"/>
    <s v="Mumbai"/>
    <x v="1"/>
    <s v="Watch"/>
    <n v="3"/>
    <n v="141786"/>
    <n v="86333.08"/>
    <x v="3"/>
    <n v="55452.92"/>
    <s v="September"/>
    <x v="3"/>
    <n v="0.39110292976739591"/>
    <n v="1.3130104851942935E-3"/>
  </r>
  <r>
    <d v="2023-12-02T00:00:00"/>
    <x v="3"/>
    <s v="Jaipur"/>
    <x v="3"/>
    <s v="Sofa"/>
    <n v="2"/>
    <n v="10225.5"/>
    <n v="7972.11"/>
    <x v="4"/>
    <n v="2253.39"/>
    <s v="December"/>
    <x v="4"/>
    <n v="0.22036966407510633"/>
    <n v="9.4693331614928466E-5"/>
  </r>
  <r>
    <d v="2023-03-02T00:00:00"/>
    <x v="2"/>
    <s v="Mumbai"/>
    <x v="0"/>
    <s v="Shirt"/>
    <n v="2"/>
    <n v="42430.400000000001"/>
    <n v="27946.05"/>
    <x v="1"/>
    <n v="14484.35"/>
    <s v="March"/>
    <x v="9"/>
    <n v="0.34136727440702891"/>
    <n v="3.9292708794230708E-4"/>
  </r>
  <r>
    <d v="2023-04-15T00:00:00"/>
    <x v="3"/>
    <s v="Chandigarh"/>
    <x v="0"/>
    <s v="Jacket"/>
    <n v="6"/>
    <n v="169260"/>
    <n v="106897.02"/>
    <x v="3"/>
    <n v="62362.98"/>
    <s v="April"/>
    <x v="11"/>
    <n v="0.36844487770294226"/>
    <n v="1.5674337009576834E-3"/>
  </r>
  <r>
    <d v="2023-03-17T00:00:00"/>
    <x v="1"/>
    <s v="Bangalore"/>
    <x v="2"/>
    <s v="Tablet"/>
    <n v="5"/>
    <n v="108413.25"/>
    <n v="65815.820000000007"/>
    <x v="4"/>
    <n v="42597.43"/>
    <s v="March"/>
    <x v="9"/>
    <n v="0.39291719416215271"/>
    <n v="1.0039618437926892E-3"/>
  </r>
  <r>
    <d v="2023-09-08T00:00:00"/>
    <x v="2"/>
    <s v="Mumbai"/>
    <x v="3"/>
    <s v="Table"/>
    <n v="1"/>
    <n v="23007.1"/>
    <n v="13333.99"/>
    <x v="0"/>
    <n v="9673.11"/>
    <s v="September"/>
    <x v="3"/>
    <n v="0.42044021193457676"/>
    <n v="2.1305744949369916E-4"/>
  </r>
  <r>
    <d v="2023-10-21T00:00:00"/>
    <x v="0"/>
    <s v="Bhubaneswar"/>
    <x v="3"/>
    <s v="Table"/>
    <n v="6"/>
    <n v="235809"/>
    <n v="164937.07999999999"/>
    <x v="0"/>
    <n v="70871.92"/>
    <s v="October"/>
    <x v="1"/>
    <n v="0.30054798586992015"/>
    <n v="2.1837112938032045E-3"/>
  </r>
  <r>
    <d v="2023-02-18T00:00:00"/>
    <x v="0"/>
    <s v="Patna"/>
    <x v="1"/>
    <s v="Watch"/>
    <n v="3"/>
    <n v="118636.2"/>
    <n v="80216.97"/>
    <x v="4"/>
    <n v="38419.230000000003"/>
    <s v="February"/>
    <x v="2"/>
    <n v="0.32384069955039024"/>
    <n v="1.0986315611104568E-3"/>
  </r>
  <r>
    <d v="2023-08-04T00:00:00"/>
    <x v="2"/>
    <s v="Ahmedabad"/>
    <x v="3"/>
    <s v="Sofa"/>
    <n v="7"/>
    <n v="267031.8"/>
    <n v="181213.76"/>
    <x v="2"/>
    <n v="85818.04"/>
    <s v="August"/>
    <x v="8"/>
    <n v="0.32137760371611168"/>
    <n v="2.4728503045456218E-3"/>
  </r>
  <r>
    <d v="2023-07-14T00:00:00"/>
    <x v="3"/>
    <s v="Chandigarh"/>
    <x v="1"/>
    <s v="Watch"/>
    <n v="7"/>
    <n v="38304"/>
    <n v="25442.36"/>
    <x v="2"/>
    <n v="12861.64"/>
    <s v="July"/>
    <x v="5"/>
    <n v="0.33577798663324976"/>
    <n v="3.5471452488173877E-4"/>
  </r>
  <r>
    <d v="2023-11-08T00:00:00"/>
    <x v="1"/>
    <s v="Bangalore"/>
    <x v="3"/>
    <s v="Table"/>
    <n v="1"/>
    <n v="39023"/>
    <n v="22547.01"/>
    <x v="3"/>
    <n v="16475.990000000002"/>
    <s v="November"/>
    <x v="0"/>
    <n v="0.4222122850626554"/>
    <n v="3.6137283063022383E-4"/>
  </r>
  <r>
    <d v="2023-05-31T00:00:00"/>
    <x v="2"/>
    <s v="Ahmedabad"/>
    <x v="1"/>
    <s v="Belt"/>
    <n v="2"/>
    <n v="20188.8"/>
    <n v="11417.8"/>
    <x v="1"/>
    <n v="8771"/>
    <s v="May"/>
    <x v="6"/>
    <n v="0.43444880329687752"/>
    <n v="1.8695855785120217E-4"/>
  </r>
  <r>
    <d v="2023-02-14T00:00:00"/>
    <x v="2"/>
    <s v="Mumbai"/>
    <x v="2"/>
    <s v="Tablet"/>
    <n v="1"/>
    <n v="2845.6"/>
    <n v="2175.36"/>
    <x v="1"/>
    <n v="670.24"/>
    <s v="February"/>
    <x v="2"/>
    <n v="0.23553556367725612"/>
    <n v="2.6351703529748221E-5"/>
  </r>
  <r>
    <d v="2023-10-27T00:00:00"/>
    <x v="1"/>
    <s v="Chennai"/>
    <x v="3"/>
    <s v="Cupboard"/>
    <n v="4"/>
    <n v="48548.6"/>
    <n v="38514.339999999997"/>
    <x v="4"/>
    <n v="10034.26"/>
    <s v="October"/>
    <x v="1"/>
    <n v="0.20668484776080054"/>
    <n v="4.4958473221265623E-4"/>
  </r>
  <r>
    <d v="2023-02-11T00:00:00"/>
    <x v="0"/>
    <s v="Kolkata"/>
    <x v="1"/>
    <s v="Watch"/>
    <n v="4"/>
    <n v="46454.400000000001"/>
    <n v="25632.87"/>
    <x v="1"/>
    <n v="20821.53"/>
    <s v="February"/>
    <x v="2"/>
    <n v="0.44821437797065505"/>
    <n v="4.3019137491296592E-4"/>
  </r>
  <r>
    <d v="2023-06-28T00:00:00"/>
    <x v="3"/>
    <s v="Delhi"/>
    <x v="0"/>
    <s v="T-Shirt"/>
    <n v="2"/>
    <n v="25799.4"/>
    <n v="20534.46"/>
    <x v="2"/>
    <n v="5264.94"/>
    <s v="June"/>
    <x v="7"/>
    <n v="0.20407218772529592"/>
    <n v="2.3891556791024259E-4"/>
  </r>
  <r>
    <d v="2023-02-18T00:00:00"/>
    <x v="3"/>
    <s v="Delhi"/>
    <x v="1"/>
    <s v="Watch"/>
    <n v="7"/>
    <n v="20434.400000000001"/>
    <n v="15151.44"/>
    <x v="1"/>
    <n v="5282.96"/>
    <s v="February"/>
    <x v="2"/>
    <n v="0.25853267039893513"/>
    <n v="1.892329387855943E-4"/>
  </r>
  <r>
    <d v="2023-06-15T00:00:00"/>
    <x v="3"/>
    <s v="Delhi"/>
    <x v="2"/>
    <s v="Smartphone"/>
    <n v="1"/>
    <n v="30424.9"/>
    <n v="21342.28"/>
    <x v="4"/>
    <n v="9082.6200000000008"/>
    <s v="June"/>
    <x v="7"/>
    <n v="0.29852587847453899"/>
    <n v="2.8175005085825017E-4"/>
  </r>
  <r>
    <d v="2023-02-12T00:00:00"/>
    <x v="0"/>
    <s v="Bhubaneswar"/>
    <x v="0"/>
    <s v="Shirt"/>
    <n v="2"/>
    <n v="98560"/>
    <n v="68214.16"/>
    <x v="3"/>
    <n v="30345.84"/>
    <s v="February"/>
    <x v="2"/>
    <n v="0.30789204545454546"/>
    <n v="9.1271573653780745E-4"/>
  </r>
  <r>
    <d v="2023-08-07T00:00:00"/>
    <x v="3"/>
    <s v="Chandigarh"/>
    <x v="1"/>
    <s v="Bag"/>
    <n v="7"/>
    <n v="120015"/>
    <n v="92829.61"/>
    <x v="3"/>
    <n v="27185.39"/>
    <s v="August"/>
    <x v="8"/>
    <n v="0.22651660209140523"/>
    <n v="1.1113999504929481E-3"/>
  </r>
  <r>
    <d v="2023-07-01T00:00:00"/>
    <x v="3"/>
    <s v="Jaipur"/>
    <x v="1"/>
    <s v="Wallet"/>
    <n v="6"/>
    <n v="49337.4"/>
    <n v="32720.87"/>
    <x v="4"/>
    <n v="16616.53"/>
    <s v="July"/>
    <x v="5"/>
    <n v="0.33679379132260717"/>
    <n v="4.5688942146773965E-4"/>
  </r>
  <r>
    <d v="2023-12-19T00:00:00"/>
    <x v="3"/>
    <s v="Delhi"/>
    <x v="1"/>
    <s v="Watch"/>
    <n v="2"/>
    <n v="29508"/>
    <n v="18287.64"/>
    <x v="3"/>
    <n v="11220.36"/>
    <s v="December"/>
    <x v="4"/>
    <n v="0.38024806832045549"/>
    <n v="2.7325909043991091E-4"/>
  </r>
  <r>
    <d v="2023-06-02T00:00:00"/>
    <x v="3"/>
    <s v="Delhi"/>
    <x v="0"/>
    <s v="Jeans"/>
    <n v="5"/>
    <n v="203310"/>
    <n v="134568.44"/>
    <x v="3"/>
    <n v="68741.56"/>
    <s v="June"/>
    <x v="7"/>
    <n v="0.33811204564458214"/>
    <n v="1.8827540218699435E-3"/>
  </r>
  <r>
    <d v="2023-12-20T00:00:00"/>
    <x v="0"/>
    <s v="Kolkata"/>
    <x v="3"/>
    <s v="Chair"/>
    <n v="7"/>
    <n v="234233.65"/>
    <n v="135583.97"/>
    <x v="4"/>
    <n v="98649.68"/>
    <s v="December"/>
    <x v="4"/>
    <n v="0.42115929969925325"/>
    <n v="2.1691227514375913E-3"/>
  </r>
  <r>
    <d v="2023-03-28T00:00:00"/>
    <x v="3"/>
    <s v="Jaipur"/>
    <x v="1"/>
    <s v="Belt"/>
    <n v="6"/>
    <n v="186038.39999999999"/>
    <n v="128871.31"/>
    <x v="1"/>
    <n v="57167.09"/>
    <s v="March"/>
    <x v="9"/>
    <n v="0.30728650644168087"/>
    <n v="1.7228102199707308E-3"/>
  </r>
  <r>
    <d v="2023-10-03T00:00:00"/>
    <x v="3"/>
    <s v="Delhi"/>
    <x v="2"/>
    <s v="Smartphone"/>
    <n v="3"/>
    <n v="66228.3"/>
    <n v="52332.71"/>
    <x v="0"/>
    <n v="13895.59"/>
    <s v="October"/>
    <x v="1"/>
    <n v="0.20981347852806126"/>
    <n v="6.1330774770847077E-4"/>
  </r>
  <r>
    <d v="2023-11-21T00:00:00"/>
    <x v="3"/>
    <s v="Delhi"/>
    <x v="0"/>
    <s v="Jacket"/>
    <n v="2"/>
    <n v="57531.4"/>
    <n v="42410.69"/>
    <x v="4"/>
    <n v="15120.71"/>
    <s v="November"/>
    <x v="0"/>
    <n v="0.26282534407297575"/>
    <n v="5.3277002967787356E-4"/>
  </r>
  <r>
    <d v="2023-07-16T00:00:00"/>
    <x v="0"/>
    <s v="Patna"/>
    <x v="2"/>
    <s v="Smartphone"/>
    <n v="3"/>
    <n v="75054"/>
    <n v="57840.66"/>
    <x v="3"/>
    <n v="17213.34"/>
    <s v="July"/>
    <x v="5"/>
    <n v="0.22934607082900313"/>
    <n v="6.9503821925840704E-4"/>
  </r>
  <r>
    <d v="2023-02-26T00:00:00"/>
    <x v="1"/>
    <s v="Bangalore"/>
    <x v="2"/>
    <s v="Headphones"/>
    <n v="3"/>
    <n v="89704.8"/>
    <n v="60890.879999999997"/>
    <x v="1"/>
    <n v="28813.919999999998"/>
    <s v="February"/>
    <x v="2"/>
    <n v="0.32120822965995127"/>
    <n v="8.3071207998150075E-4"/>
  </r>
  <r>
    <d v="2023-10-15T00:00:00"/>
    <x v="0"/>
    <s v="Patna"/>
    <x v="2"/>
    <s v="Smartphone"/>
    <n v="3"/>
    <n v="86274"/>
    <n v="66770.17"/>
    <x v="3"/>
    <n v="19503.830000000002"/>
    <s v="October"/>
    <x v="1"/>
    <n v="0.2260684563136055"/>
    <n v="7.9894112676605919E-4"/>
  </r>
  <r>
    <d v="2023-07-30T00:00:00"/>
    <x v="2"/>
    <s v="Mumbai"/>
    <x v="0"/>
    <s v="Shirt"/>
    <n v="4"/>
    <n v="127123.2"/>
    <n v="88239.039999999994"/>
    <x v="2"/>
    <n v="38884.160000000003"/>
    <s v="July"/>
    <x v="5"/>
    <n v="0.3058777626743191"/>
    <n v="1.1772254983669136E-3"/>
  </r>
  <r>
    <d v="2023-11-11T00:00:00"/>
    <x v="3"/>
    <s v="Delhi"/>
    <x v="2"/>
    <s v="Laptop"/>
    <n v="5"/>
    <n v="34599"/>
    <n v="21285.73"/>
    <x v="0"/>
    <n v="13313.27"/>
    <s v="November"/>
    <x v="0"/>
    <n v="0.3847877106274748"/>
    <n v="3.204043401833563E-4"/>
  </r>
  <r>
    <d v="2023-06-16T00:00:00"/>
    <x v="2"/>
    <s v="Pune"/>
    <x v="0"/>
    <s v="Shirt"/>
    <n v="6"/>
    <n v="163841.4"/>
    <n v="119069.95"/>
    <x v="2"/>
    <n v="44771.45"/>
    <s v="June"/>
    <x v="7"/>
    <n v="0.27326090963578192"/>
    <n v="1.5172547085672231E-3"/>
  </r>
  <r>
    <d v="2023-02-07T00:00:00"/>
    <x v="3"/>
    <s v="Delhi"/>
    <x v="3"/>
    <s v="Cupboard"/>
    <n v="6"/>
    <n v="11411.4"/>
    <n v="7337.65"/>
    <x v="0"/>
    <n v="4073.75"/>
    <s v="February"/>
    <x v="2"/>
    <n v="0.35698950172634386"/>
    <n v="1.0567536887101801E-4"/>
  </r>
  <r>
    <d v="2023-08-08T00:00:00"/>
    <x v="0"/>
    <s v="Bhubaneswar"/>
    <x v="2"/>
    <s v="Tablet"/>
    <n v="1"/>
    <n v="28541.7"/>
    <n v="22534.66"/>
    <x v="2"/>
    <n v="6007.04"/>
    <s v="August"/>
    <x v="8"/>
    <n v="0.2104653892375016"/>
    <n v="2.6431066089225994E-4"/>
  </r>
  <r>
    <d v="2023-07-25T00:00:00"/>
    <x v="1"/>
    <s v="Hyderabad"/>
    <x v="1"/>
    <s v="Wallet"/>
    <n v="1"/>
    <n v="17311.95"/>
    <n v="10216.790000000001"/>
    <x v="4"/>
    <n v="7095.16"/>
    <s v="July"/>
    <x v="5"/>
    <n v="0.40984175670562817"/>
    <n v="1.6031746342487515E-4"/>
  </r>
  <r>
    <d v="2023-08-05T00:00:00"/>
    <x v="1"/>
    <s v="Hyderabad"/>
    <x v="0"/>
    <s v="Shirt"/>
    <n v="4"/>
    <n v="46512"/>
    <n v="35136.94"/>
    <x v="4"/>
    <n v="11375.06"/>
    <s v="August"/>
    <x v="8"/>
    <n v="0.24456183350533195"/>
    <n v="4.3072478021353994E-4"/>
  </r>
  <r>
    <d v="2023-10-25T00:00:00"/>
    <x v="3"/>
    <s v="Jaipur"/>
    <x v="2"/>
    <s v="Tablet"/>
    <n v="4"/>
    <n v="49449.599999999999"/>
    <n v="35988.93"/>
    <x v="1"/>
    <n v="13460.67"/>
    <s v="October"/>
    <x v="1"/>
    <n v="0.27220988642981947"/>
    <n v="4.5792845054281619E-4"/>
  </r>
  <r>
    <d v="2023-07-15T00:00:00"/>
    <x v="1"/>
    <s v="Hyderabad"/>
    <x v="3"/>
    <s v="Table"/>
    <n v="2"/>
    <n v="39933"/>
    <n v="31780.09"/>
    <x v="4"/>
    <n v="8152.91"/>
    <s v="July"/>
    <x v="5"/>
    <n v="0.20416472591590915"/>
    <n v="3.6979989353859845E-4"/>
  </r>
  <r>
    <d v="2023-04-29T00:00:00"/>
    <x v="0"/>
    <s v="Patna"/>
    <x v="2"/>
    <s v="Tablet"/>
    <n v="3"/>
    <n v="109854.9"/>
    <n v="62852.89"/>
    <x v="2"/>
    <n v="47002.01"/>
    <s v="April"/>
    <x v="11"/>
    <n v="0.42785538014235147"/>
    <n v="1.0173122561463795E-3"/>
  </r>
  <r>
    <d v="2023-02-13T00:00:00"/>
    <x v="1"/>
    <s v="Chennai"/>
    <x v="3"/>
    <s v="Table"/>
    <n v="5"/>
    <n v="58954.5"/>
    <n v="35534.379999999997"/>
    <x v="2"/>
    <n v="23420.12"/>
    <s v="February"/>
    <x v="2"/>
    <n v="0.39725754607366698"/>
    <n v="5.4594865959535477E-4"/>
  </r>
  <r>
    <d v="2023-12-08T00:00:00"/>
    <x v="0"/>
    <s v="Patna"/>
    <x v="3"/>
    <s v="Table"/>
    <n v="5"/>
    <n v="39046.5"/>
    <n v="30630.28"/>
    <x v="2"/>
    <n v="8416.2199999999993"/>
    <s v="December"/>
    <x v="4"/>
    <n v="0.21554351862522889"/>
    <n v="3.6159045258445105E-4"/>
  </r>
  <r>
    <d v="2023-01-04T00:00:00"/>
    <x v="1"/>
    <s v="Hyderabad"/>
    <x v="0"/>
    <s v="T-Shirt"/>
    <n v="4"/>
    <n v="150713.60000000001"/>
    <n v="103419.71"/>
    <x v="1"/>
    <n v="47293.89"/>
    <s v="January"/>
    <x v="10"/>
    <n v="0.31379974998938381"/>
    <n v="1.3956846025797941E-3"/>
  </r>
  <r>
    <d v="2023-08-07T00:00:00"/>
    <x v="1"/>
    <s v="Hyderabad"/>
    <x v="1"/>
    <s v="Watch"/>
    <n v="4"/>
    <n v="177382.8"/>
    <n v="115793.02"/>
    <x v="2"/>
    <n v="61589.78"/>
    <s v="August"/>
    <x v="8"/>
    <n v="0.34721393506022008"/>
    <n v="1.6426549609490522E-3"/>
  </r>
  <r>
    <d v="2023-11-20T00:00:00"/>
    <x v="3"/>
    <s v="Jaipur"/>
    <x v="2"/>
    <s v="Headphones"/>
    <n v="6"/>
    <n v="22069.8"/>
    <n v="14446.59"/>
    <x v="2"/>
    <n v="7623.21"/>
    <s v="November"/>
    <x v="0"/>
    <n v="0.34541364217165538"/>
    <n v="2.0437757469807328E-4"/>
  </r>
  <r>
    <d v="2023-11-20T00:00:00"/>
    <x v="3"/>
    <s v="Delhi"/>
    <x v="1"/>
    <s v="Wallet"/>
    <n v="6"/>
    <n v="79753.8"/>
    <n v="52482.61"/>
    <x v="4"/>
    <n v="27271.19"/>
    <s v="November"/>
    <x v="0"/>
    <n v="0.34194220212704596"/>
    <n v="7.3856075800212047E-4"/>
  </r>
  <r>
    <d v="2023-12-21T00:00:00"/>
    <x v="1"/>
    <s v="Chennai"/>
    <x v="2"/>
    <s v="Tablet"/>
    <n v="6"/>
    <n v="199777.2"/>
    <n v="125501.75"/>
    <x v="4"/>
    <n v="74275.45"/>
    <s v="December"/>
    <x v="4"/>
    <n v="0.37179142564817202"/>
    <n v="1.850038496768069E-3"/>
  </r>
  <r>
    <d v="2023-06-20T00:00:00"/>
    <x v="3"/>
    <s v="Delhi"/>
    <x v="3"/>
    <s v="Chair"/>
    <n v="5"/>
    <n v="61593.25"/>
    <n v="38948.17"/>
    <x v="0"/>
    <n v="22645.08"/>
    <s v="June"/>
    <x v="7"/>
    <n v="0.36765522196019856"/>
    <n v="5.7038482690246865E-4"/>
  </r>
  <r>
    <d v="2023-08-04T00:00:00"/>
    <x v="0"/>
    <s v="Patna"/>
    <x v="3"/>
    <s v="Sofa"/>
    <n v="3"/>
    <n v="22740.9"/>
    <n v="15044.96"/>
    <x v="4"/>
    <n v="7695.94"/>
    <s v="August"/>
    <x v="8"/>
    <n v="0.33841844430079721"/>
    <n v="2.1059230208028232E-4"/>
  </r>
  <r>
    <d v="2023-04-30T00:00:00"/>
    <x v="3"/>
    <s v="Jaipur"/>
    <x v="0"/>
    <s v="T-Shirt"/>
    <n v="1"/>
    <n v="35360"/>
    <n v="24837.59"/>
    <x v="1"/>
    <n v="10522.41"/>
    <s v="April"/>
    <x v="11"/>
    <n v="0.29757946832579185"/>
    <n v="3.2745158729684324E-4"/>
  </r>
  <r>
    <d v="2023-01-05T00:00:00"/>
    <x v="1"/>
    <s v="Bangalore"/>
    <x v="2"/>
    <s v="Headphones"/>
    <n v="6"/>
    <n v="18753.599999999999"/>
    <n v="10324.219999999999"/>
    <x v="1"/>
    <n v="8429.3799999999992"/>
    <s v="January"/>
    <x v="10"/>
    <n v="0.44948063305178737"/>
    <n v="1.736678757785656E-4"/>
  </r>
  <r>
    <d v="2023-03-08T00:00:00"/>
    <x v="1"/>
    <s v="Hyderabad"/>
    <x v="3"/>
    <s v="Sofa"/>
    <n v="5"/>
    <n v="128273.75"/>
    <n v="93462.17"/>
    <x v="0"/>
    <n v="34811.58"/>
    <s v="March"/>
    <x v="9"/>
    <n v="0.27138506514388178"/>
    <n v="1.1878801766407932E-3"/>
  </r>
  <r>
    <d v="2023-01-20T00:00:00"/>
    <x v="2"/>
    <s v="Ahmedabad"/>
    <x v="0"/>
    <s v="T-Shirt"/>
    <n v="7"/>
    <n v="269171"/>
    <n v="156429.63"/>
    <x v="3"/>
    <n v="112741.37"/>
    <s v="January"/>
    <x v="10"/>
    <n v="0.41884664395495796"/>
    <n v="2.4926603847363854E-3"/>
  </r>
  <r>
    <d v="2023-11-22T00:00:00"/>
    <x v="3"/>
    <s v="Chandigarh"/>
    <x v="3"/>
    <s v="Cupboard"/>
    <n v="1"/>
    <n v="39807"/>
    <n v="26422.65"/>
    <x v="3"/>
    <n v="13384.35"/>
    <s v="November"/>
    <x v="0"/>
    <n v="0.33623106488808502"/>
    <n v="3.6863306944359274E-4"/>
  </r>
  <r>
    <d v="2023-09-09T00:00:00"/>
    <x v="3"/>
    <s v="Jaipur"/>
    <x v="0"/>
    <s v="Jeans"/>
    <n v="6"/>
    <n v="99822.3"/>
    <n v="57746.35"/>
    <x v="4"/>
    <n v="42075.95"/>
    <s v="September"/>
    <x v="3"/>
    <n v="0.42150852064117933"/>
    <n v="9.2440527665785287E-4"/>
  </r>
  <r>
    <d v="2023-10-01T00:00:00"/>
    <x v="3"/>
    <s v="Delhi"/>
    <x v="1"/>
    <s v="Watch"/>
    <n v="1"/>
    <n v="36742.199999999997"/>
    <n v="25064.68"/>
    <x v="0"/>
    <n v="11677.52"/>
    <s v="October"/>
    <x v="1"/>
    <n v="0.31782310259048185"/>
    <n v="3.4025146240888215E-4"/>
  </r>
  <r>
    <d v="2023-05-03T00:00:00"/>
    <x v="1"/>
    <s v="Chennai"/>
    <x v="2"/>
    <s v="Laptop"/>
    <n v="6"/>
    <n v="258130.2"/>
    <n v="159080.04"/>
    <x v="0"/>
    <n v="99050.16"/>
    <s v="May"/>
    <x v="6"/>
    <n v="0.38372170323348448"/>
    <n v="2.3904169603860752E-3"/>
  </r>
  <r>
    <d v="2023-12-16T00:00:00"/>
    <x v="2"/>
    <s v="Pune"/>
    <x v="0"/>
    <s v="T-Shirt"/>
    <n v="6"/>
    <n v="190551"/>
    <n v="146587.43"/>
    <x v="0"/>
    <n v="43963.57"/>
    <s v="December"/>
    <x v="4"/>
    <n v="0.23071812795524557"/>
    <n v="1.7645991914875786E-3"/>
  </r>
  <r>
    <d v="2023-10-28T00:00:00"/>
    <x v="3"/>
    <s v="Delhi"/>
    <x v="1"/>
    <s v="Belt"/>
    <n v="5"/>
    <n v="86402.5"/>
    <n v="66270.710000000006"/>
    <x v="4"/>
    <n v="20131.79"/>
    <s v="October"/>
    <x v="1"/>
    <n v="0.2330000868030439"/>
    <n v="8.0013110213279131E-4"/>
  </r>
  <r>
    <d v="2023-02-16T00:00:00"/>
    <x v="2"/>
    <s v="Mumbai"/>
    <x v="0"/>
    <s v="Jeans"/>
    <n v="2"/>
    <n v="64961"/>
    <n v="39910.080000000002"/>
    <x v="0"/>
    <n v="25050.92"/>
    <s v="February"/>
    <x v="2"/>
    <n v="0.38563014731916068"/>
    <n v="6.0157190504497274E-4"/>
  </r>
  <r>
    <d v="2023-08-12T00:00:00"/>
    <x v="3"/>
    <s v="Jaipur"/>
    <x v="3"/>
    <s v="Chair"/>
    <n v="7"/>
    <n v="173318.95"/>
    <n v="137333.21"/>
    <x v="0"/>
    <n v="35985.74"/>
    <s v="August"/>
    <x v="8"/>
    <n v="0.20762726753191152"/>
    <n v="1.6050216427070762E-3"/>
  </r>
  <r>
    <d v="2023-02-08T00:00:00"/>
    <x v="1"/>
    <s v="Hyderabad"/>
    <x v="0"/>
    <s v="T-Shirt"/>
    <n v="5"/>
    <n v="117412"/>
    <n v="69584.25"/>
    <x v="1"/>
    <n v="47827.75"/>
    <s v="February"/>
    <x v="2"/>
    <n v="0.40734975982012062"/>
    <n v="1.0872948463715203E-3"/>
  </r>
  <r>
    <d v="2023-07-22T00:00:00"/>
    <x v="2"/>
    <s v="Pune"/>
    <x v="0"/>
    <s v="Shirt"/>
    <n v="5"/>
    <n v="160591.5"/>
    <n v="89314.75"/>
    <x v="2"/>
    <n v="71276.75"/>
    <s v="July"/>
    <x v="5"/>
    <n v="0.44383887067497346"/>
    <n v="1.4871589813738972E-3"/>
  </r>
  <r>
    <d v="2023-04-21T00:00:00"/>
    <x v="0"/>
    <s v="Kolkata"/>
    <x v="2"/>
    <s v="Tablet"/>
    <n v="7"/>
    <n v="119759.85"/>
    <n v="67822.3"/>
    <x v="0"/>
    <n v="51937.55"/>
    <s v="April"/>
    <x v="11"/>
    <n v="0.43368082040850919"/>
    <n v="1.1090371317005615E-3"/>
  </r>
  <r>
    <d v="2023-10-08T00:00:00"/>
    <x v="1"/>
    <s v="Hyderabad"/>
    <x v="2"/>
    <s v="Tablet"/>
    <n v="3"/>
    <n v="72516.899999999994"/>
    <n v="57695.94"/>
    <x v="4"/>
    <n v="14820.96"/>
    <s v="October"/>
    <x v="1"/>
    <n v="0.20437939294150742"/>
    <n v="6.7154338265968468E-4"/>
  </r>
  <r>
    <d v="2023-03-10T00:00:00"/>
    <x v="0"/>
    <s v="Patna"/>
    <x v="1"/>
    <s v="Belt"/>
    <n v="7"/>
    <n v="119420.7"/>
    <n v="90353.41"/>
    <x v="0"/>
    <n v="29067.29"/>
    <s v="March"/>
    <x v="9"/>
    <n v="0.24340244195520544"/>
    <n v="1.105896430178171E-3"/>
  </r>
  <r>
    <d v="2023-06-13T00:00:00"/>
    <x v="3"/>
    <s v="Chandigarh"/>
    <x v="3"/>
    <s v="Cupboard"/>
    <n v="6"/>
    <n v="279539.40000000002"/>
    <n v="172976.89"/>
    <x v="0"/>
    <n v="106562.51"/>
    <s v="June"/>
    <x v="7"/>
    <n v="0.38120747916036163"/>
    <n v="2.5886770430431898E-3"/>
  </r>
  <r>
    <d v="2023-07-08T00:00:00"/>
    <x v="1"/>
    <s v="Bangalore"/>
    <x v="2"/>
    <s v="Tablet"/>
    <n v="6"/>
    <n v="164337.60000000001"/>
    <n v="104982.31"/>
    <x v="1"/>
    <n v="59355.29"/>
    <s v="July"/>
    <x v="5"/>
    <n v="0.36117899981501494"/>
    <n v="1.5218497729794602E-3"/>
  </r>
  <r>
    <d v="2023-09-11T00:00:00"/>
    <x v="3"/>
    <s v="Delhi"/>
    <x v="3"/>
    <s v="Table"/>
    <n v="7"/>
    <n v="18506.95"/>
    <n v="11639.34"/>
    <x v="0"/>
    <n v="6867.61"/>
    <s v="September"/>
    <x v="3"/>
    <n v="0.37108275539729668"/>
    <n v="1.7138377131004846E-4"/>
  </r>
  <r>
    <d v="2023-11-07T00:00:00"/>
    <x v="0"/>
    <s v="Bhubaneswar"/>
    <x v="1"/>
    <s v="Watch"/>
    <n v="5"/>
    <n v="104092"/>
    <n v="68935.91"/>
    <x v="1"/>
    <n v="35156.089999999997"/>
    <s v="November"/>
    <x v="0"/>
    <n v="0.3377405564308496"/>
    <n v="9.639448706137728E-4"/>
  </r>
  <r>
    <d v="2023-12-24T00:00:00"/>
    <x v="0"/>
    <s v="Kolkata"/>
    <x v="3"/>
    <s v="Table"/>
    <n v="3"/>
    <n v="12109.65"/>
    <n v="7400.98"/>
    <x v="0"/>
    <n v="4708.67"/>
    <s v="December"/>
    <x v="4"/>
    <n v="0.38883617610748455"/>
    <n v="1.1214151906417471E-4"/>
  </r>
  <r>
    <d v="2023-12-07T00:00:00"/>
    <x v="1"/>
    <s v="Bangalore"/>
    <x v="0"/>
    <s v="Shirt"/>
    <n v="1"/>
    <n v="10732.8"/>
    <n v="6585.27"/>
    <x v="1"/>
    <n v="4147.53"/>
    <s v="December"/>
    <x v="4"/>
    <n v="0.38643504025044723"/>
    <n v="9.9391187673630066E-5"/>
  </r>
  <r>
    <d v="2023-09-28T00:00:00"/>
    <x v="2"/>
    <s v="Pune"/>
    <x v="3"/>
    <s v="Sofa"/>
    <n v="2"/>
    <n v="22496"/>
    <n v="15446.18"/>
    <x v="1"/>
    <n v="7049.82"/>
    <s v="September"/>
    <x v="3"/>
    <n v="0.31338104551920343"/>
    <n v="2.0832440350197358E-4"/>
  </r>
  <r>
    <d v="2023-02-06T00:00:00"/>
    <x v="1"/>
    <s v="Chennai"/>
    <x v="3"/>
    <s v="Chair"/>
    <n v="6"/>
    <n v="125679.3"/>
    <n v="75037.84"/>
    <x v="4"/>
    <n v="50641.46"/>
    <s v="February"/>
    <x v="2"/>
    <n v="0.40294193236276776"/>
    <n v="1.1638542498686696E-3"/>
  </r>
  <r>
    <d v="2023-06-08T00:00:00"/>
    <x v="1"/>
    <s v="Hyderabad"/>
    <x v="0"/>
    <s v="T-Shirt"/>
    <n v="5"/>
    <n v="161402.25"/>
    <n v="93189.26"/>
    <x v="4"/>
    <n v="68212.990000000005"/>
    <s v="June"/>
    <x v="7"/>
    <n v="0.42262725581582666"/>
    <n v="1.4946669387947374E-3"/>
  </r>
  <r>
    <d v="2023-03-31T00:00:00"/>
    <x v="1"/>
    <s v="Bangalore"/>
    <x v="2"/>
    <s v="Laptop"/>
    <n v="1"/>
    <n v="3438"/>
    <n v="2126.59"/>
    <x v="2"/>
    <n v="1311.41"/>
    <s v="March"/>
    <x v="9"/>
    <n v="0.3814456079115765"/>
    <n v="3.1837628878013209E-5"/>
  </r>
  <r>
    <d v="2023-05-15T00:00:00"/>
    <x v="3"/>
    <s v="Jaipur"/>
    <x v="2"/>
    <s v="Tablet"/>
    <n v="4"/>
    <n v="90774.399999999994"/>
    <n v="65249.34"/>
    <x v="1"/>
    <n v="25525.06"/>
    <s v="May"/>
    <x v="6"/>
    <n v="0.28119227447386053"/>
    <n v="8.4061712007688257E-4"/>
  </r>
  <r>
    <d v="2023-05-09T00:00:00"/>
    <x v="1"/>
    <s v="Bangalore"/>
    <x v="0"/>
    <s v="Jeans"/>
    <n v="6"/>
    <n v="67656"/>
    <n v="51733.16"/>
    <x v="3"/>
    <n v="15922.84"/>
    <s v="May"/>
    <x v="6"/>
    <n v="0.23535000591226204"/>
    <n v="6.2652897596592841E-4"/>
  </r>
  <r>
    <d v="2023-11-10T00:00:00"/>
    <x v="0"/>
    <s v="Patna"/>
    <x v="3"/>
    <s v="Cupboard"/>
    <n v="1"/>
    <n v="12542.4"/>
    <n v="8786.75"/>
    <x v="2"/>
    <n v="3755.65"/>
    <s v="November"/>
    <x v="0"/>
    <n v="0.29943631202959564"/>
    <n v="1.1614900419999792E-4"/>
  </r>
  <r>
    <d v="2023-10-20T00:00:00"/>
    <x v="1"/>
    <s v="Bangalore"/>
    <x v="3"/>
    <s v="Table"/>
    <n v="2"/>
    <n v="26396.7"/>
    <n v="14889.15"/>
    <x v="0"/>
    <n v="11507.55"/>
    <s v="October"/>
    <x v="1"/>
    <n v="0.43594653877189188"/>
    <n v="2.4444686975109113E-4"/>
  </r>
  <r>
    <d v="2023-04-27T00:00:00"/>
    <x v="2"/>
    <s v="Ahmedabad"/>
    <x v="1"/>
    <s v="Wallet"/>
    <n v="4"/>
    <n v="94416"/>
    <n v="59344.28"/>
    <x v="3"/>
    <n v="35071.72"/>
    <s v="April"/>
    <x v="11"/>
    <n v="0.37145949839010339"/>
    <n v="8.7434018852428595E-4"/>
  </r>
  <r>
    <d v="2023-10-28T00:00:00"/>
    <x v="2"/>
    <s v="Mumbai"/>
    <x v="3"/>
    <s v="Chair"/>
    <n v="7"/>
    <n v="53159.4"/>
    <n v="32131.25"/>
    <x v="2"/>
    <n v="21028.15"/>
    <s v="October"/>
    <x v="1"/>
    <n v="0.3955678581774813"/>
    <n v="4.9228308568291317E-4"/>
  </r>
  <r>
    <d v="2023-01-16T00:00:00"/>
    <x v="1"/>
    <s v="Bangalore"/>
    <x v="2"/>
    <s v="Headphones"/>
    <n v="7"/>
    <n v="38285.1"/>
    <n v="30399.19"/>
    <x v="2"/>
    <n v="7885.91"/>
    <s v="January"/>
    <x v="10"/>
    <n v="0.20597856607400791"/>
    <n v="3.5453950126748793E-4"/>
  </r>
  <r>
    <d v="2023-07-12T00:00:00"/>
    <x v="0"/>
    <s v="Kolkata"/>
    <x v="0"/>
    <s v="Jeans"/>
    <n v="7"/>
    <n v="210581"/>
    <n v="134286.32999999999"/>
    <x v="3"/>
    <n v="76294.67"/>
    <s v="July"/>
    <x v="5"/>
    <n v="0.3623055736272503"/>
    <n v="1.9500871805587258E-3"/>
  </r>
  <r>
    <d v="2023-03-16T00:00:00"/>
    <x v="0"/>
    <s v="Patna"/>
    <x v="0"/>
    <s v="Shirt"/>
    <n v="3"/>
    <n v="61668"/>
    <n v="36467.68"/>
    <x v="2"/>
    <n v="25200.32"/>
    <s v="March"/>
    <x v="9"/>
    <n v="0.40864500227022116"/>
    <n v="5.7107704992708506E-4"/>
  </r>
  <r>
    <d v="2023-07-23T00:00:00"/>
    <x v="1"/>
    <s v="Chennai"/>
    <x v="0"/>
    <s v="T-Shirt"/>
    <n v="2"/>
    <n v="78633"/>
    <n v="52247.79"/>
    <x v="2"/>
    <n v="26385.21"/>
    <s v="July"/>
    <x v="5"/>
    <n v="0.33554881538285453"/>
    <n v="7.2818157986178375E-4"/>
  </r>
  <r>
    <d v="2023-05-12T00:00:00"/>
    <x v="0"/>
    <s v="Kolkata"/>
    <x v="3"/>
    <s v="Chair"/>
    <n v="5"/>
    <n v="81030.25"/>
    <n v="62939.95"/>
    <x v="0"/>
    <n v="18090.3"/>
    <s v="May"/>
    <x v="6"/>
    <n v="0.22325366144125186"/>
    <n v="7.5038133432013662E-4"/>
  </r>
  <r>
    <d v="2023-11-06T00:00:00"/>
    <x v="2"/>
    <s v="Pune"/>
    <x v="2"/>
    <s v="Headphones"/>
    <n v="4"/>
    <n v="72514.8"/>
    <n v="45389.46"/>
    <x v="2"/>
    <n v="27125.34"/>
    <s v="November"/>
    <x v="0"/>
    <n v="0.37406625957735523"/>
    <n v="6.7152393559143466E-4"/>
  </r>
  <r>
    <d v="2023-11-03T00:00:00"/>
    <x v="2"/>
    <s v="Mumbai"/>
    <x v="0"/>
    <s v="T-Shirt"/>
    <n v="2"/>
    <n v="6284"/>
    <n v="3624.65"/>
    <x v="3"/>
    <n v="2659.35"/>
    <s v="November"/>
    <x v="0"/>
    <n v="0.42319382558879692"/>
    <n v="5.8193036611237638E-5"/>
  </r>
  <r>
    <d v="2023-06-30T00:00:00"/>
    <x v="1"/>
    <s v="Hyderabad"/>
    <x v="2"/>
    <s v="Headphones"/>
    <n v="5"/>
    <n v="166017.75"/>
    <n v="129648.71"/>
    <x v="4"/>
    <n v="36369.040000000001"/>
    <s v="June"/>
    <x v="7"/>
    <n v="0.21906717805776793"/>
    <n v="1.5374088166558398E-3"/>
  </r>
  <r>
    <d v="2023-10-27T00:00:00"/>
    <x v="1"/>
    <s v="Chennai"/>
    <x v="1"/>
    <s v="Watch"/>
    <n v="2"/>
    <n v="56609.599999999999"/>
    <n v="34224.79"/>
    <x v="1"/>
    <n v="22384.81"/>
    <s v="October"/>
    <x v="1"/>
    <n v="0.39542427432802918"/>
    <n v="5.2423369276695072E-4"/>
  </r>
  <r>
    <d v="2023-07-07T00:00:00"/>
    <x v="0"/>
    <s v="Bhubaneswar"/>
    <x v="0"/>
    <s v="T-Shirt"/>
    <n v="6"/>
    <n v="44606.400000000001"/>
    <n v="29339.68"/>
    <x v="1"/>
    <n v="15266.72"/>
    <s v="July"/>
    <x v="5"/>
    <n v="0.34225402632806051"/>
    <n v="4.1307795485288207E-4"/>
  </r>
  <r>
    <d v="2023-08-26T00:00:00"/>
    <x v="0"/>
    <s v="Bhubaneswar"/>
    <x v="2"/>
    <s v="Tablet"/>
    <n v="6"/>
    <n v="283586.40000000002"/>
    <n v="205017.2"/>
    <x v="0"/>
    <n v="78569.2"/>
    <s v="August"/>
    <x v="8"/>
    <n v="0.27705559928120665"/>
    <n v="2.6261543217137306E-3"/>
  </r>
  <r>
    <d v="2023-01-02T00:00:00"/>
    <x v="1"/>
    <s v="Hyderabad"/>
    <x v="2"/>
    <s v="Tablet"/>
    <n v="2"/>
    <n v="22059"/>
    <n v="13475.92"/>
    <x v="0"/>
    <n v="8583.08"/>
    <s v="January"/>
    <x v="10"/>
    <n v="0.38909651389455552"/>
    <n v="2.0427756120421564E-4"/>
  </r>
  <r>
    <d v="2023-09-27T00:00:00"/>
    <x v="0"/>
    <s v="Kolkata"/>
    <x v="0"/>
    <s v="Jacket"/>
    <n v="5"/>
    <n v="105004.75"/>
    <n v="74307.539999999994"/>
    <x v="4"/>
    <n v="30697.21"/>
    <s v="September"/>
    <x v="3"/>
    <n v="0.29234115599532401"/>
    <n v="9.7239739992104643E-4"/>
  </r>
  <r>
    <d v="2023-03-10T00:00:00"/>
    <x v="0"/>
    <s v="Bhubaneswar"/>
    <x v="2"/>
    <s v="Laptop"/>
    <n v="2"/>
    <n v="34224.699999999997"/>
    <n v="26870.639999999999"/>
    <x v="0"/>
    <n v="7354.06"/>
    <s v="March"/>
    <x v="9"/>
    <n v="0.21487580606988524"/>
    <n v="3.1693813178049408E-4"/>
  </r>
  <r>
    <d v="2023-03-03T00:00:00"/>
    <x v="3"/>
    <s v="Chandigarh"/>
    <x v="2"/>
    <s v="Laptop"/>
    <n v="1"/>
    <n v="3881.95"/>
    <n v="2984.91"/>
    <x v="4"/>
    <n v="897.04"/>
    <s v="March"/>
    <x v="9"/>
    <n v="0.23107974085189145"/>
    <n v="3.5948831711170267E-5"/>
  </r>
  <r>
    <d v="2023-12-15T00:00:00"/>
    <x v="3"/>
    <s v="Delhi"/>
    <x v="2"/>
    <s v="Smartphone"/>
    <n v="6"/>
    <n v="124830"/>
    <n v="69534.100000000006"/>
    <x v="0"/>
    <n v="55295.9"/>
    <s v="December"/>
    <x v="4"/>
    <n v="0.44296963870864375"/>
    <n v="1.1559892998378094E-3"/>
  </r>
  <r>
    <d v="2023-04-24T00:00:00"/>
    <x v="2"/>
    <s v="Pune"/>
    <x v="3"/>
    <s v="Chair"/>
    <n v="1"/>
    <n v="21800.7"/>
    <n v="15545.43"/>
    <x v="2"/>
    <n v="6255.27"/>
    <s v="April"/>
    <x v="11"/>
    <n v="0.28692977748420923"/>
    <n v="2.0188557180945394E-4"/>
  </r>
  <r>
    <d v="2023-01-20T00:00:00"/>
    <x v="1"/>
    <s v="Chennai"/>
    <x v="1"/>
    <s v="Bag"/>
    <n v="5"/>
    <n v="142713.75"/>
    <n v="111052.88"/>
    <x v="0"/>
    <n v="31660.87"/>
    <s v="January"/>
    <x v="10"/>
    <n v="0.22184877070359371"/>
    <n v="1.3216019221319248E-3"/>
  </r>
  <r>
    <d v="2023-10-20T00:00:00"/>
    <x v="1"/>
    <s v="Bangalore"/>
    <x v="2"/>
    <s v="Smartphone"/>
    <n v="5"/>
    <n v="77715"/>
    <n v="61500.71"/>
    <x v="3"/>
    <n v="16214.29"/>
    <s v="October"/>
    <x v="1"/>
    <n v="0.20863784340217462"/>
    <n v="7.1968043288388498E-4"/>
  </r>
  <r>
    <d v="2023-02-01T00:00:00"/>
    <x v="2"/>
    <s v="Pune"/>
    <x v="1"/>
    <s v="Watch"/>
    <n v="6"/>
    <n v="226368"/>
    <n v="179077.08"/>
    <x v="1"/>
    <n v="47290.92"/>
    <s v="February"/>
    <x v="2"/>
    <n v="0.20891168363019508"/>
    <n v="2.0962828312559903E-3"/>
  </r>
  <r>
    <d v="2023-07-04T00:00:00"/>
    <x v="3"/>
    <s v="Chandigarh"/>
    <x v="0"/>
    <s v="Jeans"/>
    <n v="2"/>
    <n v="30616"/>
    <n v="23084.13"/>
    <x v="1"/>
    <n v="7531.87"/>
    <s v="July"/>
    <x v="5"/>
    <n v="0.24601090932845571"/>
    <n v="2.8351973406900885E-4"/>
  </r>
  <r>
    <d v="2023-08-19T00:00:00"/>
    <x v="3"/>
    <s v="Chandigarh"/>
    <x v="2"/>
    <s v="Smartphone"/>
    <n v="2"/>
    <n v="43118"/>
    <n v="31357.18"/>
    <x v="3"/>
    <n v="11760.82"/>
    <s v="August"/>
    <x v="8"/>
    <n v="0.27275894058165961"/>
    <n v="3.9929461371790968E-4"/>
  </r>
  <r>
    <d v="2023-06-21T00:00:00"/>
    <x v="2"/>
    <s v="Ahmedabad"/>
    <x v="0"/>
    <s v="Jacket"/>
    <n v="1"/>
    <n v="24669.599999999999"/>
    <n v="14454.05"/>
    <x v="1"/>
    <n v="10215.549999999999"/>
    <s v="June"/>
    <x v="7"/>
    <n v="0.41409467522781074"/>
    <n v="2.2845304519169128E-4"/>
  </r>
  <r>
    <d v="2023-03-10T00:00:00"/>
    <x v="2"/>
    <s v="Ahmedabad"/>
    <x v="1"/>
    <s v="Belt"/>
    <n v="2"/>
    <n v="83332.100000000006"/>
    <n v="52205.37"/>
    <x v="0"/>
    <n v="31126.73"/>
    <s v="March"/>
    <x v="9"/>
    <n v="0.37352628818906519"/>
    <n v="7.7169763624941384E-4"/>
  </r>
  <r>
    <d v="2023-03-12T00:00:00"/>
    <x v="1"/>
    <s v="Chennai"/>
    <x v="1"/>
    <s v="Bag"/>
    <n v="3"/>
    <n v="123883.8"/>
    <n v="87873.94"/>
    <x v="0"/>
    <n v="36009.86"/>
    <s v="March"/>
    <x v="9"/>
    <n v="0.29067448689820624"/>
    <n v="1.1472270065148379E-3"/>
  </r>
  <r>
    <d v="2023-05-06T00:00:00"/>
    <x v="0"/>
    <s v="Patna"/>
    <x v="3"/>
    <s v="Sofa"/>
    <n v="3"/>
    <n v="101952"/>
    <n v="68168.509999999995"/>
    <x v="2"/>
    <n v="33783.49"/>
    <s v="May"/>
    <x v="6"/>
    <n v="0.33136662350910229"/>
    <n v="9.441273820160566E-4"/>
  </r>
  <r>
    <d v="2023-01-11T00:00:00"/>
    <x v="2"/>
    <s v="Mumbai"/>
    <x v="3"/>
    <s v="Sofa"/>
    <n v="4"/>
    <n v="29364"/>
    <n v="22658.7"/>
    <x v="3"/>
    <n v="6705.3"/>
    <s v="January"/>
    <x v="10"/>
    <n v="0.22835104209235799"/>
    <n v="2.7192557718847584E-4"/>
  </r>
  <r>
    <d v="2023-10-05T00:00:00"/>
    <x v="0"/>
    <s v="Patna"/>
    <x v="3"/>
    <s v="Table"/>
    <n v="5"/>
    <n v="11249.75"/>
    <n v="6234.25"/>
    <x v="4"/>
    <n v="5015.5"/>
    <s v="October"/>
    <x v="1"/>
    <n v="0.44583212960288005"/>
    <n v="1.041784076411952E-4"/>
  </r>
  <r>
    <d v="2023-11-25T00:00:00"/>
    <x v="3"/>
    <s v="Jaipur"/>
    <x v="3"/>
    <s v="Table"/>
    <n v="3"/>
    <n v="109026.75"/>
    <n v="64394.23"/>
    <x v="0"/>
    <n v="44632.52"/>
    <s v="November"/>
    <x v="0"/>
    <n v="0.40937219535572689"/>
    <n v="1.0096431658743242E-3"/>
  </r>
  <r>
    <d v="2023-02-09T00:00:00"/>
    <x v="0"/>
    <s v="Kolkata"/>
    <x v="0"/>
    <s v="T-Shirt"/>
    <n v="3"/>
    <n v="19877.400000000001"/>
    <n v="10975.4"/>
    <x v="2"/>
    <n v="8902"/>
    <s v="February"/>
    <x v="2"/>
    <n v="0.44784529163773928"/>
    <n v="1.8407483544497378E-4"/>
  </r>
  <r>
    <d v="2023-06-16T00:00:00"/>
    <x v="2"/>
    <s v="Pune"/>
    <x v="0"/>
    <s v="Jeans"/>
    <n v="3"/>
    <n v="123630.15"/>
    <n v="68227.25"/>
    <x v="0"/>
    <n v="55402.9"/>
    <s v="June"/>
    <x v="7"/>
    <n v="0.44813421321578922"/>
    <n v="1.144878078485487E-3"/>
  </r>
  <r>
    <d v="2023-10-06T00:00:00"/>
    <x v="2"/>
    <s v="Mumbai"/>
    <x v="2"/>
    <s v="Tablet"/>
    <n v="5"/>
    <n v="237790"/>
    <n v="144636.89000000001"/>
    <x v="3"/>
    <n v="93153.11"/>
    <s v="October"/>
    <x v="1"/>
    <n v="0.39174527944825266"/>
    <n v="2.2020563615191275E-3"/>
  </r>
  <r>
    <d v="2023-06-26T00:00:00"/>
    <x v="0"/>
    <s v="Patna"/>
    <x v="1"/>
    <s v="Wallet"/>
    <n v="5"/>
    <n v="185355.25"/>
    <n v="105157.03"/>
    <x v="4"/>
    <n v="80198.22"/>
    <s v="June"/>
    <x v="7"/>
    <n v="0.43267304271122614"/>
    <n v="1.716483903458801E-3"/>
  </r>
  <r>
    <d v="2023-12-19T00:00:00"/>
    <x v="1"/>
    <s v="Bangalore"/>
    <x v="3"/>
    <s v="Sofa"/>
    <n v="5"/>
    <n v="224715"/>
    <n v="153999.34"/>
    <x v="3"/>
    <n v="70715.66"/>
    <s v="December"/>
    <x v="4"/>
    <n v="0.31469043010034936"/>
    <n v="2.0809752103905579E-3"/>
  </r>
  <r>
    <d v="2023-06-03T00:00:00"/>
    <x v="0"/>
    <s v="Patna"/>
    <x v="3"/>
    <s v="Chair"/>
    <n v="6"/>
    <n v="175118.4"/>
    <n v="139904.07"/>
    <x v="1"/>
    <n v="35214.33"/>
    <s v="June"/>
    <x v="7"/>
    <n v="0.20108869199353124"/>
    <n v="1.621685465070235E-3"/>
  </r>
  <r>
    <d v="2023-08-04T00:00:00"/>
    <x v="2"/>
    <s v="Mumbai"/>
    <x v="2"/>
    <s v="Smartphone"/>
    <n v="2"/>
    <n v="65854"/>
    <n v="43646.879999999997"/>
    <x v="0"/>
    <n v="22207.119999999999"/>
    <s v="August"/>
    <x v="8"/>
    <n v="0.33721748109454247"/>
    <n v="6.0984153930560849E-4"/>
  </r>
  <r>
    <d v="2023-07-05T00:00:00"/>
    <x v="1"/>
    <s v="Hyderabad"/>
    <x v="2"/>
    <s v="Headphones"/>
    <n v="4"/>
    <n v="161012"/>
    <n v="107231.43"/>
    <x v="3"/>
    <n v="53780.57"/>
    <s v="July"/>
    <x v="5"/>
    <n v="0.33401591185750129"/>
    <n v="1.4910530252782615E-3"/>
  </r>
  <r>
    <d v="2023-10-05T00:00:00"/>
    <x v="1"/>
    <s v="Chennai"/>
    <x v="3"/>
    <s v="Table"/>
    <n v="6"/>
    <n v="106539"/>
    <n v="75417.48"/>
    <x v="4"/>
    <n v="31121.52"/>
    <s v="October"/>
    <x v="1"/>
    <n v="0.29211387379269566"/>
    <n v="9.8660533537947917E-4"/>
  </r>
  <r>
    <d v="2023-07-02T00:00:00"/>
    <x v="0"/>
    <s v="Bhubaneswar"/>
    <x v="1"/>
    <s v="Belt"/>
    <n v="2"/>
    <n v="27974.400000000001"/>
    <n v="18593.919999999998"/>
    <x v="1"/>
    <n v="9380.48"/>
    <s v="July"/>
    <x v="5"/>
    <n v="0.33532372454815829"/>
    <n v="2.5905717431212705E-4"/>
  </r>
  <r>
    <d v="2023-07-05T00:00:00"/>
    <x v="0"/>
    <s v="Kolkata"/>
    <x v="0"/>
    <s v="Shirt"/>
    <n v="2"/>
    <n v="64531.199999999997"/>
    <n v="50553.43"/>
    <x v="1"/>
    <n v="13977.77"/>
    <s v="July"/>
    <x v="5"/>
    <n v="0.21660483611028467"/>
    <n v="5.9759173840978651E-4"/>
  </r>
  <r>
    <d v="2023-07-11T00:00:00"/>
    <x v="1"/>
    <s v="Hyderabad"/>
    <x v="3"/>
    <s v="Sofa"/>
    <n v="7"/>
    <n v="71637.3"/>
    <n v="51335.42"/>
    <x v="2"/>
    <n v="20301.88"/>
    <s v="July"/>
    <x v="5"/>
    <n v="0.28339817385635696"/>
    <n v="6.6339783921550203E-4"/>
  </r>
  <r>
    <d v="2023-11-19T00:00:00"/>
    <x v="3"/>
    <s v="Jaipur"/>
    <x v="0"/>
    <s v="Jeans"/>
    <n v="7"/>
    <n v="4926.6000000000004"/>
    <n v="3894.74"/>
    <x v="4"/>
    <n v="1031.8599999999999"/>
    <s v="November"/>
    <x v="0"/>
    <n v="0.20944667722161325"/>
    <n v="4.5622822114723647E-5"/>
  </r>
  <r>
    <d v="2023-01-29T00:00:00"/>
    <x v="0"/>
    <s v="Kolkata"/>
    <x v="3"/>
    <s v="Cupboard"/>
    <n v="5"/>
    <n v="94986"/>
    <n v="52357.91"/>
    <x v="2"/>
    <n v="42628.09"/>
    <s v="January"/>
    <x v="10"/>
    <n v="0.44878287326553384"/>
    <n v="8.7961867847788323E-4"/>
  </r>
  <r>
    <d v="2023-05-19T00:00:00"/>
    <x v="1"/>
    <s v="Bangalore"/>
    <x v="2"/>
    <s v="Smartphone"/>
    <n v="5"/>
    <n v="148333.5"/>
    <n v="101360.3"/>
    <x v="2"/>
    <n v="46973.2"/>
    <s v="May"/>
    <x v="6"/>
    <n v="0.31667290261471615"/>
    <n v="1.3736436658454835E-3"/>
  </r>
  <r>
    <d v="2023-10-26T00:00:00"/>
    <x v="0"/>
    <s v="Patna"/>
    <x v="3"/>
    <s v="Chair"/>
    <n v="3"/>
    <n v="122652.45"/>
    <n v="73799.91"/>
    <x v="4"/>
    <n v="48852.54"/>
    <s v="October"/>
    <x v="1"/>
    <n v="0.39830056391046409"/>
    <n v="1.1358240791387642E-3"/>
  </r>
  <r>
    <d v="2023-08-20T00:00:00"/>
    <x v="2"/>
    <s v="Pune"/>
    <x v="2"/>
    <s v="Headphones"/>
    <n v="3"/>
    <n v="73658.25"/>
    <n v="53038.559999999998"/>
    <x v="0"/>
    <n v="20619.689999999999"/>
    <s v="August"/>
    <x v="8"/>
    <n v="0.27993727790166067"/>
    <n v="6.8211286425361151E-4"/>
  </r>
  <r>
    <d v="2023-11-19T00:00:00"/>
    <x v="1"/>
    <s v="Bangalore"/>
    <x v="0"/>
    <s v="Jeans"/>
    <n v="6"/>
    <n v="75186"/>
    <n v="41944.63"/>
    <x v="3"/>
    <n v="33241.370000000003"/>
    <s v="November"/>
    <x v="0"/>
    <n v="0.44212180459128031"/>
    <n v="6.9626060640555585E-4"/>
  </r>
  <r>
    <d v="2023-10-10T00:00:00"/>
    <x v="1"/>
    <s v="Chennai"/>
    <x v="3"/>
    <s v="Chair"/>
    <n v="6"/>
    <n v="39676.800000000003"/>
    <n v="29866.07"/>
    <x v="1"/>
    <n v="9810.73"/>
    <s v="October"/>
    <x v="1"/>
    <n v="0.24726616057746589"/>
    <n v="3.6742735121208684E-4"/>
  </r>
  <r>
    <d v="2023-05-07T00:00:00"/>
    <x v="1"/>
    <s v="Hyderabad"/>
    <x v="3"/>
    <s v="Sofa"/>
    <n v="4"/>
    <n v="86465.4"/>
    <n v="66957.34"/>
    <x v="4"/>
    <n v="19508.060000000001"/>
    <s v="May"/>
    <x v="6"/>
    <n v="0.22561695198310541"/>
    <n v="8.0071358812942503E-4"/>
  </r>
  <r>
    <d v="2023-10-29T00:00:00"/>
    <x v="0"/>
    <s v="Patna"/>
    <x v="1"/>
    <s v="Belt"/>
    <n v="4"/>
    <n v="72114"/>
    <n v="43576.75"/>
    <x v="4"/>
    <n v="28537.25"/>
    <s v="October"/>
    <x v="1"/>
    <n v="0.39572413123665307"/>
    <n v="6.6781232370827356E-4"/>
  </r>
  <r>
    <d v="2023-12-13T00:00:00"/>
    <x v="1"/>
    <s v="Hyderabad"/>
    <x v="3"/>
    <s v="Chair"/>
    <n v="1"/>
    <n v="16192.8"/>
    <n v="9646.43"/>
    <x v="2"/>
    <n v="6546.37"/>
    <s v="December"/>
    <x v="4"/>
    <n v="0.4042765920656094"/>
    <n v="1.4995356512387793E-4"/>
  </r>
  <r>
    <d v="2023-01-31T00:00:00"/>
    <x v="3"/>
    <s v="Chandigarh"/>
    <x v="1"/>
    <s v="Belt"/>
    <n v="1"/>
    <n v="29556"/>
    <n v="23518.15"/>
    <x v="1"/>
    <n v="6037.85"/>
    <s v="January"/>
    <x v="10"/>
    <n v="0.20428508593855732"/>
    <n v="2.7370359485705595E-4"/>
  </r>
  <r>
    <d v="2023-01-21T00:00:00"/>
    <x v="0"/>
    <s v="Bhubaneswar"/>
    <x v="2"/>
    <s v="Smartphone"/>
    <n v="1"/>
    <n v="3121.7"/>
    <n v="2236.66"/>
    <x v="0"/>
    <n v="885.04"/>
    <s v="January"/>
    <x v="10"/>
    <n v="0.28351218887144825"/>
    <n v="2.8908529979201229E-5"/>
  </r>
  <r>
    <d v="2023-01-25T00:00:00"/>
    <x v="1"/>
    <s v="Bangalore"/>
    <x v="1"/>
    <s v="Watch"/>
    <n v="5"/>
    <n v="120860"/>
    <n v="68654.92"/>
    <x v="1"/>
    <n v="52205.08"/>
    <s v="January"/>
    <x v="10"/>
    <n v="0.4319467152076783"/>
    <n v="1.1192250803364388E-3"/>
  </r>
  <r>
    <d v="2023-01-01T00:00:00"/>
    <x v="1"/>
    <s v="Bangalore"/>
    <x v="1"/>
    <s v="Bag"/>
    <n v="6"/>
    <n v="62376"/>
    <n v="47081.94"/>
    <x v="3"/>
    <n v="15294.06"/>
    <s v="January"/>
    <x v="10"/>
    <n v="0.24519141977683723"/>
    <n v="5.7763349007997435E-4"/>
  </r>
  <r>
    <d v="2023-10-18T00:00:00"/>
    <x v="0"/>
    <s v="Kolkata"/>
    <x v="2"/>
    <s v="Tablet"/>
    <n v="4"/>
    <n v="98444"/>
    <n v="56206.38"/>
    <x v="3"/>
    <n v="42237.62"/>
    <s v="October"/>
    <x v="1"/>
    <n v="0.42905225305757588"/>
    <n v="9.1164151752970695E-4"/>
  </r>
  <r>
    <d v="2023-11-05T00:00:00"/>
    <x v="2"/>
    <s v="Pune"/>
    <x v="2"/>
    <s v="Smartphone"/>
    <n v="6"/>
    <n v="237590.39999999999"/>
    <n v="132536.4"/>
    <x v="1"/>
    <n v="105054"/>
    <s v="November"/>
    <x v="0"/>
    <n v="0.44216432987191401"/>
    <n v="2.2002079639844995E-3"/>
  </r>
  <r>
    <d v="2023-01-16T00:00:00"/>
    <x v="2"/>
    <s v="Ahmedabad"/>
    <x v="2"/>
    <s v="Headphones"/>
    <n v="6"/>
    <n v="278091.59999999998"/>
    <n v="199479.67999999999"/>
    <x v="0"/>
    <n v="78611.92"/>
    <s v="January"/>
    <x v="10"/>
    <n v="0.28268354743544932"/>
    <n v="2.5752696785610522E-3"/>
  </r>
  <r>
    <d v="2023-06-27T00:00:00"/>
    <x v="1"/>
    <s v="Bangalore"/>
    <x v="2"/>
    <s v="Smartphone"/>
    <n v="7"/>
    <n v="134493.79999999999"/>
    <n v="78305.740000000005"/>
    <x v="4"/>
    <n v="56188.06"/>
    <s v="June"/>
    <x v="7"/>
    <n v="0.41777435093662313"/>
    <n v="1.2454810037212719E-3"/>
  </r>
  <r>
    <d v="2023-08-02T00:00:00"/>
    <x v="3"/>
    <s v="Jaipur"/>
    <x v="1"/>
    <s v="Bag"/>
    <n v="7"/>
    <n v="66465"/>
    <n v="47176.89"/>
    <x v="3"/>
    <n v="19288.11"/>
    <s v="August"/>
    <x v="8"/>
    <n v="0.29019950349808171"/>
    <n v="6.154997101155171E-4"/>
  </r>
  <r>
    <d v="2023-03-31T00:00:00"/>
    <x v="2"/>
    <s v="Mumbai"/>
    <x v="3"/>
    <s v="Cupboard"/>
    <n v="2"/>
    <n v="11255.6"/>
    <n v="8629.09"/>
    <x v="0"/>
    <n v="2626.51"/>
    <s v="March"/>
    <x v="9"/>
    <n v="0.23335139841501121"/>
    <n v="1.0423258161703475E-4"/>
  </r>
  <r>
    <d v="2023-10-16T00:00:00"/>
    <x v="3"/>
    <s v="Jaipur"/>
    <x v="1"/>
    <s v="Belt"/>
    <n v="2"/>
    <n v="36070.400000000001"/>
    <n v="20792.75"/>
    <x v="1"/>
    <n v="15277.65"/>
    <s v="October"/>
    <x v="1"/>
    <n v="0.42355088937189495"/>
    <n v="3.3403025267058977E-4"/>
  </r>
  <r>
    <d v="2023-04-03T00:00:00"/>
    <x v="3"/>
    <s v="Delhi"/>
    <x v="2"/>
    <s v="Tablet"/>
    <n v="1"/>
    <n v="28126"/>
    <n v="17991.689999999999"/>
    <x v="3"/>
    <n v="10134.31"/>
    <s v="April"/>
    <x v="11"/>
    <n v="0.3603182109080566"/>
    <n v="2.604610674296101E-4"/>
  </r>
  <r>
    <d v="2023-08-26T00:00:00"/>
    <x v="2"/>
    <s v="Pune"/>
    <x v="0"/>
    <s v="T-Shirt"/>
    <n v="7"/>
    <n v="217431.2"/>
    <n v="163370.54"/>
    <x v="1"/>
    <n v="54060.66"/>
    <s v="August"/>
    <x v="8"/>
    <n v="0.24863340679718457"/>
    <n v="2.0135235171905371E-3"/>
  </r>
  <r>
    <d v="2023-01-19T00:00:00"/>
    <x v="3"/>
    <s v="Jaipur"/>
    <x v="1"/>
    <s v="Bag"/>
    <n v="1"/>
    <n v="7696"/>
    <n v="5629.74"/>
    <x v="1"/>
    <n v="2066.2600000000002"/>
    <s v="January"/>
    <x v="10"/>
    <n v="0.26848492723492728"/>
    <n v="7.1268874882254122E-5"/>
  </r>
  <r>
    <d v="2023-11-26T00:00:00"/>
    <x v="0"/>
    <s v="Patna"/>
    <x v="0"/>
    <s v="Shirt"/>
    <n v="5"/>
    <n v="117593.25"/>
    <n v="81064.11"/>
    <x v="4"/>
    <n v="36529.14"/>
    <s v="November"/>
    <x v="0"/>
    <n v="0.31063976886428429"/>
    <n v="1.0889733135716773E-3"/>
  </r>
  <r>
    <d v="2023-03-21T00:00:00"/>
    <x v="1"/>
    <s v="Bangalore"/>
    <x v="0"/>
    <s v="Jacket"/>
    <n v="2"/>
    <n v="40832"/>
    <n v="27024.15"/>
    <x v="1"/>
    <n v="13807.85"/>
    <s v="March"/>
    <x v="9"/>
    <n v="0.33816247061128529"/>
    <n v="3.7812509085137735E-4"/>
  </r>
  <r>
    <d v="2023-06-27T00:00:00"/>
    <x v="0"/>
    <s v="Bhubaneswar"/>
    <x v="3"/>
    <s v="Cupboard"/>
    <n v="6"/>
    <n v="160353"/>
    <n v="106125.73"/>
    <x v="2"/>
    <n v="54227.27"/>
    <s v="June"/>
    <x v="7"/>
    <n v="0.33817434036157723"/>
    <n v="1.4849503500512077E-3"/>
  </r>
  <r>
    <d v="2023-03-07T00:00:00"/>
    <x v="0"/>
    <s v="Kolkata"/>
    <x v="1"/>
    <s v="Watch"/>
    <n v="6"/>
    <n v="24597"/>
    <n v="18198.830000000002"/>
    <x v="2"/>
    <n v="6398.17"/>
    <s v="March"/>
    <x v="9"/>
    <n v="0.26011993332520228"/>
    <n v="2.2778073226075942E-4"/>
  </r>
  <r>
    <d v="2023-04-11T00:00:00"/>
    <x v="3"/>
    <s v="Delhi"/>
    <x v="2"/>
    <s v="Smartphone"/>
    <n v="3"/>
    <n v="81237"/>
    <n v="59359.24"/>
    <x v="3"/>
    <n v="21877.759999999998"/>
    <s v="April"/>
    <x v="11"/>
    <n v="0.26930782771397266"/>
    <n v="7.5229594449190205E-4"/>
  </r>
  <r>
    <d v="2023-07-01T00:00:00"/>
    <x v="1"/>
    <s v="Bangalore"/>
    <x v="3"/>
    <s v="Sofa"/>
    <n v="7"/>
    <n v="277278.40000000002"/>
    <n v="209227.38"/>
    <x v="0"/>
    <n v="68051.02"/>
    <s v="July"/>
    <x v="5"/>
    <n v="0.2454248870449339"/>
    <n v="2.5677390328939205E-3"/>
  </r>
  <r>
    <d v="2023-04-16T00:00:00"/>
    <x v="0"/>
    <s v="Patna"/>
    <x v="0"/>
    <s v="Jeans"/>
    <n v="7"/>
    <n v="312549.3"/>
    <n v="242687.63"/>
    <x v="2"/>
    <n v="69861.67"/>
    <s v="April"/>
    <x v="11"/>
    <n v="0.22352208115647676"/>
    <n v="2.894365508866438E-3"/>
  </r>
  <r>
    <d v="2023-12-13T00:00:00"/>
    <x v="2"/>
    <s v="Mumbai"/>
    <x v="3"/>
    <s v="Cupboard"/>
    <n v="4"/>
    <n v="12841.6"/>
    <n v="8935.43"/>
    <x v="1"/>
    <n v="3906.17"/>
    <s v="December"/>
    <x v="4"/>
    <n v="0.30418094318464989"/>
    <n v="1.1891974840020199E-4"/>
  </r>
  <r>
    <d v="2023-08-15T00:00:00"/>
    <x v="3"/>
    <s v="Jaipur"/>
    <x v="1"/>
    <s v="Wallet"/>
    <n v="2"/>
    <n v="53549.599999999999"/>
    <n v="36059.550000000003"/>
    <x v="0"/>
    <n v="17490.05"/>
    <s v="August"/>
    <x v="8"/>
    <n v="0.32661401765839521"/>
    <n v="4.9589653617395464E-4"/>
  </r>
  <r>
    <d v="2023-08-23T00:00:00"/>
    <x v="2"/>
    <s v="Pune"/>
    <x v="3"/>
    <s v="Table"/>
    <n v="3"/>
    <n v="91893.6"/>
    <n v="53070.25"/>
    <x v="1"/>
    <n v="38823.35"/>
    <s v="August"/>
    <x v="8"/>
    <n v="0.42248154387247855"/>
    <n v="8.5098148140331435E-4"/>
  </r>
  <r>
    <d v="2023-04-11T00:00:00"/>
    <x v="0"/>
    <s v="Bhubaneswar"/>
    <x v="0"/>
    <s v="T-Shirt"/>
    <n v="7"/>
    <n v="171504.9"/>
    <n v="100813.34"/>
    <x v="2"/>
    <n v="70691.56"/>
    <s v="April"/>
    <x v="11"/>
    <n v="0.41218390844809683"/>
    <n v="1.5882226169170353E-3"/>
  </r>
  <r>
    <d v="2023-09-01T00:00:00"/>
    <x v="3"/>
    <s v="Jaipur"/>
    <x v="2"/>
    <s v="Smartphone"/>
    <n v="3"/>
    <n v="11214.75"/>
    <n v="7907.96"/>
    <x v="0"/>
    <n v="3306.79"/>
    <s v="September"/>
    <x v="3"/>
    <n v="0.29486078601841326"/>
    <n v="1.0385428983702695E-4"/>
  </r>
  <r>
    <d v="2023-07-13T00:00:00"/>
    <x v="2"/>
    <s v="Pune"/>
    <x v="3"/>
    <s v="Table"/>
    <n v="7"/>
    <n v="221617.9"/>
    <n v="151411.96"/>
    <x v="0"/>
    <n v="70205.94"/>
    <s v="July"/>
    <x v="5"/>
    <n v="0.31678821972412879"/>
    <n v="2.0522944889251435E-3"/>
  </r>
  <r>
    <d v="2023-07-21T00:00:00"/>
    <x v="0"/>
    <s v="Kolkata"/>
    <x v="0"/>
    <s v="T-Shirt"/>
    <n v="2"/>
    <n v="30128.3"/>
    <n v="16777.48"/>
    <x v="0"/>
    <n v="13350.82"/>
    <s v="July"/>
    <x v="5"/>
    <n v="0.44313220460497271"/>
    <n v="2.7900338398064144E-4"/>
  </r>
  <r>
    <d v="2023-03-19T00:00:00"/>
    <x v="0"/>
    <s v="Kolkata"/>
    <x v="0"/>
    <s v="Jacket"/>
    <n v="7"/>
    <n v="166594.04999999999"/>
    <n v="98848.42"/>
    <x v="4"/>
    <n v="67745.63"/>
    <s v="March"/>
    <x v="9"/>
    <n v="0.40665095782232324"/>
    <n v="1.5427456478141874E-3"/>
  </r>
  <r>
    <d v="2023-02-17T00:00:00"/>
    <x v="2"/>
    <s v="Ahmedabad"/>
    <x v="0"/>
    <s v="T-Shirt"/>
    <n v="5"/>
    <n v="149170.5"/>
    <n v="119173.02"/>
    <x v="2"/>
    <n v="29997.48"/>
    <s v="February"/>
    <x v="2"/>
    <n v="0.20109525676993775"/>
    <n v="1.3813947116194502E-3"/>
  </r>
  <r>
    <d v="2023-11-30T00:00:00"/>
    <x v="1"/>
    <s v="Bangalore"/>
    <x v="1"/>
    <s v="Wallet"/>
    <n v="4"/>
    <n v="57785.599999999999"/>
    <n v="44621.27"/>
    <x v="1"/>
    <n v="13164.33"/>
    <s v="November"/>
    <x v="0"/>
    <n v="0.22781333065677262"/>
    <n v="5.3512405098700411E-4"/>
  </r>
  <r>
    <d v="2023-12-19T00:00:00"/>
    <x v="2"/>
    <s v="Mumbai"/>
    <x v="2"/>
    <s v="Tablet"/>
    <n v="3"/>
    <n v="30931.200000000001"/>
    <n v="18111.62"/>
    <x v="1"/>
    <n v="12819.58"/>
    <s v="December"/>
    <x v="4"/>
    <n v="0.41445466066625281"/>
    <n v="2.8643864640826125E-4"/>
  </r>
  <r>
    <d v="2023-07-25T00:00:00"/>
    <x v="2"/>
    <s v="Ahmedabad"/>
    <x v="2"/>
    <s v="Headphones"/>
    <n v="1"/>
    <n v="38503.5"/>
    <n v="29701.21"/>
    <x v="0"/>
    <n v="8802.2900000000009"/>
    <s v="July"/>
    <x v="5"/>
    <n v="0.22861012635214983"/>
    <n v="3.5656199636549784E-4"/>
  </r>
  <r>
    <d v="2023-05-15T00:00:00"/>
    <x v="0"/>
    <s v="Kolkata"/>
    <x v="3"/>
    <s v="Table"/>
    <n v="7"/>
    <n v="142699.20000000001"/>
    <n v="85980.47"/>
    <x v="1"/>
    <n v="56718.73"/>
    <s v="May"/>
    <x v="6"/>
    <n v="0.39747055344388754"/>
    <n v="1.3214671817304779E-3"/>
  </r>
  <r>
    <d v="2023-10-10T00:00:00"/>
    <x v="1"/>
    <s v="Chennai"/>
    <x v="1"/>
    <s v="Bag"/>
    <n v="1"/>
    <n v="38609.1"/>
    <n v="22101.99"/>
    <x v="2"/>
    <n v="16507.11"/>
    <s v="October"/>
    <x v="1"/>
    <n v="0.42754454260783081"/>
    <n v="3.575399060832169E-4"/>
  </r>
  <r>
    <d v="2023-01-24T00:00:00"/>
    <x v="1"/>
    <s v="Bangalore"/>
    <x v="1"/>
    <s v="Wallet"/>
    <n v="6"/>
    <n v="9790.2000000000007"/>
    <n v="6947.79"/>
    <x v="2"/>
    <n v="2842.41"/>
    <s v="January"/>
    <x v="10"/>
    <n v="0.29033216890359742"/>
    <n v="9.0662232181944427E-5"/>
  </r>
  <r>
    <d v="2023-07-18T00:00:00"/>
    <x v="3"/>
    <s v="Chandigarh"/>
    <x v="1"/>
    <s v="Wallet"/>
    <n v="1"/>
    <n v="1603.1"/>
    <n v="1126.55"/>
    <x v="4"/>
    <n v="476.55"/>
    <s v="July"/>
    <x v="5"/>
    <n v="0.29726779364980355"/>
    <n v="1.4845521481775152E-5"/>
  </r>
  <r>
    <d v="2023-02-11T00:00:00"/>
    <x v="0"/>
    <s v="Kolkata"/>
    <x v="3"/>
    <s v="Sofa"/>
    <n v="6"/>
    <n v="117315"/>
    <n v="87026.59"/>
    <x v="2"/>
    <n v="30288.41"/>
    <s v="February"/>
    <x v="2"/>
    <n v="0.25818019861057834"/>
    <n v="1.0863965770285399E-3"/>
  </r>
  <r>
    <d v="2023-11-05T00:00:00"/>
    <x v="2"/>
    <s v="Ahmedabad"/>
    <x v="3"/>
    <s v="Table"/>
    <n v="2"/>
    <n v="39305.300000000003"/>
    <n v="30351.09"/>
    <x v="0"/>
    <n v="8954.2099999999991"/>
    <s v="November"/>
    <x v="0"/>
    <n v="0.2278117709316555"/>
    <n v="3.6398707223355808E-4"/>
  </r>
  <r>
    <d v="2023-04-13T00:00:00"/>
    <x v="2"/>
    <s v="Ahmedabad"/>
    <x v="1"/>
    <s v="Watch"/>
    <n v="1"/>
    <n v="36757.4"/>
    <n v="21626.33"/>
    <x v="0"/>
    <n v="15131.07"/>
    <s v="April"/>
    <x v="11"/>
    <n v="0.41164690647325436"/>
    <n v="3.403922221409781E-4"/>
  </r>
  <r>
    <d v="2023-12-25T00:00:00"/>
    <x v="0"/>
    <s v="Bhubaneswar"/>
    <x v="3"/>
    <s v="Chair"/>
    <n v="5"/>
    <n v="127113.25"/>
    <n v="95632.69"/>
    <x v="4"/>
    <n v="31480.560000000001"/>
    <s v="December"/>
    <x v="4"/>
    <n v="0.24765758093668441"/>
    <n v="1.177133356305443E-3"/>
  </r>
  <r>
    <d v="2023-12-30T00:00:00"/>
    <x v="2"/>
    <s v="Ahmedabad"/>
    <x v="3"/>
    <s v="Chair"/>
    <n v="2"/>
    <n v="8637.7000000000007"/>
    <n v="4902.7700000000004"/>
    <x v="4"/>
    <n v="3734.93"/>
    <s v="December"/>
    <x v="4"/>
    <n v="0.43239867094249623"/>
    <n v="7.9989495916118306E-5"/>
  </r>
  <r>
    <d v="2023-09-07T00:00:00"/>
    <x v="2"/>
    <s v="Mumbai"/>
    <x v="0"/>
    <s v="Jeans"/>
    <n v="4"/>
    <n v="124156.8"/>
    <n v="83841.929999999993"/>
    <x v="2"/>
    <n v="40314.870000000003"/>
    <s v="September"/>
    <x v="3"/>
    <n v="0.32470931918348411"/>
    <n v="1.1497551253873504E-3"/>
  </r>
  <r>
    <d v="2023-07-08T00:00:00"/>
    <x v="2"/>
    <s v="Ahmedabad"/>
    <x v="1"/>
    <s v="Wallet"/>
    <n v="3"/>
    <n v="25820.1"/>
    <n v="16722.990000000002"/>
    <x v="2"/>
    <n v="9097.11"/>
    <s v="July"/>
    <x v="5"/>
    <n v="0.35232667572937365"/>
    <n v="2.3910726044013638E-4"/>
  </r>
  <r>
    <d v="2023-07-29T00:00:00"/>
    <x v="0"/>
    <s v="Patna"/>
    <x v="3"/>
    <s v="Table"/>
    <n v="3"/>
    <n v="7815"/>
    <n v="5777.1"/>
    <x v="3"/>
    <n v="2037.9"/>
    <s v="July"/>
    <x v="5"/>
    <n v="0.26076775431861804"/>
    <n v="7.2370875416426185E-5"/>
  </r>
  <r>
    <d v="2023-02-08T00:00:00"/>
    <x v="3"/>
    <s v="Delhi"/>
    <x v="3"/>
    <s v="Chair"/>
    <n v="4"/>
    <n v="160374.6"/>
    <n v="110531.73"/>
    <x v="4"/>
    <n v="49842.87"/>
    <s v="February"/>
    <x v="2"/>
    <n v="0.31079029971080208"/>
    <n v="1.4851503770389231E-3"/>
  </r>
  <r>
    <d v="2023-09-12T00:00:00"/>
    <x v="0"/>
    <s v="Bhubaneswar"/>
    <x v="1"/>
    <s v="Belt"/>
    <n v="2"/>
    <n v="2913.8"/>
    <n v="2003.15"/>
    <x v="4"/>
    <n v="910.65"/>
    <s v="September"/>
    <x v="3"/>
    <n v="0.31253002951472303"/>
    <n v="2.6983270222441797E-5"/>
  </r>
  <r>
    <d v="2023-01-22T00:00:00"/>
    <x v="2"/>
    <s v="Mumbai"/>
    <x v="0"/>
    <s v="Jacket"/>
    <n v="6"/>
    <n v="218264.4"/>
    <n v="145854.67000000001"/>
    <x v="0"/>
    <n v="72409.73"/>
    <s v="January"/>
    <x v="10"/>
    <n v="0.33175236089806676"/>
    <n v="2.0212393730314796E-3"/>
  </r>
  <r>
    <d v="2023-04-17T00:00:00"/>
    <x v="0"/>
    <s v="Kolkata"/>
    <x v="2"/>
    <s v="Smartphone"/>
    <n v="3"/>
    <n v="76349.55"/>
    <n v="60725.02"/>
    <x v="4"/>
    <n v="15624.53"/>
    <s v="April"/>
    <x v="11"/>
    <n v="0.20464469011277736"/>
    <n v="7.0703567129241235E-4"/>
  </r>
  <r>
    <d v="2023-07-21T00:00:00"/>
    <x v="0"/>
    <s v="Kolkata"/>
    <x v="0"/>
    <s v="Jeans"/>
    <n v="2"/>
    <n v="85306.2"/>
    <n v="56574.1"/>
    <x v="0"/>
    <n v="28732.1"/>
    <s v="July"/>
    <x v="5"/>
    <n v="0.33681139237241842"/>
    <n v="7.8997880645537242E-4"/>
  </r>
  <r>
    <d v="2023-08-24T00:00:00"/>
    <x v="1"/>
    <s v="Hyderabad"/>
    <x v="1"/>
    <s v="Watch"/>
    <n v="6"/>
    <n v="91674"/>
    <n v="69756.59"/>
    <x v="3"/>
    <n v="21917.41"/>
    <s v="August"/>
    <x v="8"/>
    <n v="0.23907989179047495"/>
    <n v="8.4894787369487574E-4"/>
  </r>
  <r>
    <d v="2023-02-09T00:00:00"/>
    <x v="0"/>
    <s v="Kolkata"/>
    <x v="0"/>
    <s v="Shirt"/>
    <n v="3"/>
    <n v="62866.8"/>
    <n v="40611.120000000003"/>
    <x v="2"/>
    <n v="22255.68"/>
    <s v="February"/>
    <x v="2"/>
    <n v="0.3540132470556796"/>
    <n v="5.8217854774528243E-4"/>
  </r>
  <r>
    <d v="2023-08-30T00:00:00"/>
    <x v="2"/>
    <s v="Mumbai"/>
    <x v="2"/>
    <s v="Smartphone"/>
    <n v="1"/>
    <n v="24661"/>
    <n v="14443.86"/>
    <x v="3"/>
    <n v="10217.14"/>
    <s v="August"/>
    <x v="8"/>
    <n v="0.41430355622237541"/>
    <n v="2.283734048169528E-4"/>
  </r>
  <r>
    <d v="2023-07-09T00:00:00"/>
    <x v="0"/>
    <s v="Bhubaneswar"/>
    <x v="2"/>
    <s v="Smartphone"/>
    <n v="4"/>
    <n v="74644"/>
    <n v="46536.7"/>
    <x v="3"/>
    <n v="28107.3"/>
    <s v="July"/>
    <x v="5"/>
    <n v="0.37655136380686993"/>
    <n v="6.9124141069529319E-4"/>
  </r>
  <r>
    <d v="2023-10-29T00:00:00"/>
    <x v="0"/>
    <s v="Patna"/>
    <x v="1"/>
    <s v="Bag"/>
    <n v="6"/>
    <n v="243982.8"/>
    <n v="172690.3"/>
    <x v="2"/>
    <n v="71292.5"/>
    <s v="October"/>
    <x v="1"/>
    <n v="0.29220297496380893"/>
    <n v="2.2594048397377897E-3"/>
  </r>
  <r>
    <d v="2023-08-24T00:00:00"/>
    <x v="1"/>
    <s v="Chennai"/>
    <x v="2"/>
    <s v="Tablet"/>
    <n v="4"/>
    <n v="8857.7999999999993"/>
    <n v="6036.47"/>
    <x v="0"/>
    <n v="2821.33"/>
    <s v="August"/>
    <x v="8"/>
    <n v="0.31851362640836328"/>
    <n v="8.2027733878902085E-5"/>
  </r>
  <r>
    <d v="2023-04-23T00:00:00"/>
    <x v="0"/>
    <s v="Kolkata"/>
    <x v="2"/>
    <s v="Tablet"/>
    <n v="6"/>
    <n v="68832"/>
    <n v="43745.94"/>
    <x v="3"/>
    <n v="25086.06"/>
    <s v="April"/>
    <x v="11"/>
    <n v="0.36445345188284523"/>
    <n v="6.3741933418598169E-4"/>
  </r>
  <r>
    <d v="2023-04-25T00:00:00"/>
    <x v="3"/>
    <s v="Delhi"/>
    <x v="2"/>
    <s v="Smartphone"/>
    <n v="5"/>
    <n v="105450"/>
    <n v="76055.97"/>
    <x v="0"/>
    <n v="29394.03"/>
    <s v="April"/>
    <x v="11"/>
    <n v="0.27874850640113796"/>
    <n v="9.7652064141550115E-4"/>
  </r>
  <r>
    <d v="2023-08-21T00:00:00"/>
    <x v="3"/>
    <s v="Delhi"/>
    <x v="2"/>
    <s v="Headphones"/>
    <n v="1"/>
    <n v="29944.95"/>
    <n v="21475.55"/>
    <x v="0"/>
    <n v="8469.4"/>
    <s v="August"/>
    <x v="8"/>
    <n v="0.28283233066009461"/>
    <n v="2.7730546971223432E-4"/>
  </r>
  <r>
    <d v="2023-06-13T00:00:00"/>
    <x v="0"/>
    <s v="Bhubaneswar"/>
    <x v="1"/>
    <s v="Bag"/>
    <n v="1"/>
    <n v="28292.400000000001"/>
    <n v="18293.64"/>
    <x v="2"/>
    <n v="9998.76"/>
    <s v="June"/>
    <x v="7"/>
    <n v="0.3534079823556856"/>
    <n v="2.6200201607571292E-4"/>
  </r>
  <r>
    <d v="2023-09-10T00:00:00"/>
    <x v="0"/>
    <s v="Kolkata"/>
    <x v="3"/>
    <s v="Table"/>
    <n v="7"/>
    <n v="123949"/>
    <n v="74057.509999999995"/>
    <x v="3"/>
    <n v="49891.49"/>
    <s v="September"/>
    <x v="3"/>
    <n v="0.4025162768558036"/>
    <n v="1.14783079168146E-3"/>
  </r>
  <r>
    <d v="2023-11-04T00:00:00"/>
    <x v="1"/>
    <s v="Hyderabad"/>
    <x v="2"/>
    <s v="Headphones"/>
    <n v="7"/>
    <n v="169904.7"/>
    <n v="127673.35"/>
    <x v="2"/>
    <n v="42231.35"/>
    <s v="November"/>
    <x v="0"/>
    <n v="0.24855904515884492"/>
    <n v="1.5734039509104629E-3"/>
  </r>
  <r>
    <d v="2023-07-11T00:00:00"/>
    <x v="2"/>
    <s v="Ahmedabad"/>
    <x v="3"/>
    <s v="Chair"/>
    <n v="3"/>
    <n v="48897"/>
    <n v="30172.51"/>
    <x v="3"/>
    <n v="18724.490000000002"/>
    <s v="July"/>
    <x v="5"/>
    <n v="0.38293739902243495"/>
    <n v="4.5281109344043395E-4"/>
  </r>
  <r>
    <d v="2023-03-31T00:00:00"/>
    <x v="0"/>
    <s v="Bhubaneswar"/>
    <x v="1"/>
    <s v="Belt"/>
    <n v="3"/>
    <n v="14711.7"/>
    <n v="9734.67"/>
    <x v="0"/>
    <n v="4977.03"/>
    <s v="March"/>
    <x v="9"/>
    <n v="0.33830420685576784"/>
    <n v="1.3623782570234641E-4"/>
  </r>
  <r>
    <d v="2023-05-25T00:00:00"/>
    <x v="2"/>
    <s v="Mumbai"/>
    <x v="2"/>
    <s v="Smartphone"/>
    <n v="5"/>
    <n v="129744"/>
    <n v="98880.57"/>
    <x v="4"/>
    <n v="30863.43"/>
    <s v="May"/>
    <x v="6"/>
    <n v="0.23787943951165372"/>
    <n v="1.2014954395430325E-3"/>
  </r>
  <r>
    <d v="2023-08-11T00:00:00"/>
    <x v="1"/>
    <s v="Bangalore"/>
    <x v="0"/>
    <s v="T-Shirt"/>
    <n v="2"/>
    <n v="50073.5"/>
    <n v="32006.61"/>
    <x v="4"/>
    <n v="18066.89"/>
    <s v="August"/>
    <x v="8"/>
    <n v="0.36080741310273895"/>
    <n v="4.6370608191483259E-4"/>
  </r>
  <r>
    <d v="2023-08-12T00:00:00"/>
    <x v="2"/>
    <s v="Ahmedabad"/>
    <x v="2"/>
    <s v="Headphones"/>
    <n v="2"/>
    <n v="74750.399999999994"/>
    <n v="47436"/>
    <x v="1"/>
    <n v="27314.400000000001"/>
    <s v="August"/>
    <x v="8"/>
    <n v="0.36540807808386316"/>
    <n v="6.9222672881996466E-4"/>
  </r>
  <r>
    <d v="2023-08-17T00:00:00"/>
    <x v="2"/>
    <s v="Pune"/>
    <x v="0"/>
    <s v="T-Shirt"/>
    <n v="5"/>
    <n v="137128"/>
    <n v="95353.8"/>
    <x v="1"/>
    <n v="41774.199999999997"/>
    <s v="August"/>
    <x v="8"/>
    <n v="0.30463654395892886"/>
    <n v="1.2698750357138439E-3"/>
  </r>
  <r>
    <d v="2023-04-09T00:00:00"/>
    <x v="2"/>
    <s v="Pune"/>
    <x v="0"/>
    <s v="Jeans"/>
    <n v="5"/>
    <n v="209440"/>
    <n v="151329.35999999999"/>
    <x v="4"/>
    <n v="58110.64"/>
    <s v="April"/>
    <x v="11"/>
    <n v="0.27745721925133687"/>
    <n v="1.9395209401428409E-3"/>
  </r>
  <r>
    <d v="2023-04-29T00:00:00"/>
    <x v="0"/>
    <s v="Bhubaneswar"/>
    <x v="0"/>
    <s v="Jeans"/>
    <n v="3"/>
    <n v="109480.8"/>
    <n v="67497.87"/>
    <x v="1"/>
    <n v="41982.93"/>
    <s v="April"/>
    <x v="11"/>
    <n v="0.38347299252471667"/>
    <n v="1.0138478998452556E-3"/>
  </r>
  <r>
    <d v="2023-12-03T00:00:00"/>
    <x v="1"/>
    <s v="Chennai"/>
    <x v="3"/>
    <s v="Cupboard"/>
    <n v="1"/>
    <n v="16163.1"/>
    <n v="11450.56"/>
    <x v="2"/>
    <n v="4712.54"/>
    <s v="December"/>
    <x v="4"/>
    <n v="0.29156164349660646"/>
    <n v="1.4967852801576944E-4"/>
  </r>
  <r>
    <d v="2023-03-05T00:00:00"/>
    <x v="1"/>
    <s v="Chennai"/>
    <x v="3"/>
    <s v="Sofa"/>
    <n v="7"/>
    <n v="13506.15"/>
    <n v="8915.32"/>
    <x v="0"/>
    <n v="4590.83"/>
    <s v="March"/>
    <x v="9"/>
    <n v="0.33990663512547986"/>
    <n v="1.2507381945048811E-4"/>
  </r>
  <r>
    <d v="2023-06-15T00:00:00"/>
    <x v="0"/>
    <s v="Patna"/>
    <x v="2"/>
    <s v="Smartphone"/>
    <n v="4"/>
    <n v="138715.20000000001"/>
    <n v="94420.3"/>
    <x v="2"/>
    <n v="44294.9"/>
    <s v="June"/>
    <x v="7"/>
    <n v="0.31932261208576995"/>
    <n v="1.2845733151074399E-3"/>
  </r>
  <r>
    <d v="2023-03-20T00:00:00"/>
    <x v="1"/>
    <s v="Bangalore"/>
    <x v="2"/>
    <s v="Laptop"/>
    <n v="4"/>
    <n v="90783.4"/>
    <n v="54588.51"/>
    <x v="4"/>
    <n v="36194.89"/>
    <s v="March"/>
    <x v="9"/>
    <n v="0.39869502574259175"/>
    <n v="8.4070046465509717E-4"/>
  </r>
  <r>
    <d v="2023-08-12T00:00:00"/>
    <x v="3"/>
    <s v="Jaipur"/>
    <x v="3"/>
    <s v="Cupboard"/>
    <n v="4"/>
    <n v="188748"/>
    <n v="138505.70000000001"/>
    <x v="3"/>
    <n v="50242.3"/>
    <s v="August"/>
    <x v="8"/>
    <n v="0.26618719138745844"/>
    <n v="1.7479024943185682E-3"/>
  </r>
  <r>
    <d v="2023-07-01T00:00:00"/>
    <x v="1"/>
    <s v="Chennai"/>
    <x v="1"/>
    <s v="Belt"/>
    <n v="4"/>
    <n v="169837.2"/>
    <n v="104546.44"/>
    <x v="0"/>
    <n v="65290.76"/>
    <s v="July"/>
    <x v="5"/>
    <n v="0.38443144375908223"/>
    <n v="1.5727788665738528E-3"/>
  </r>
  <r>
    <d v="2023-07-03T00:00:00"/>
    <x v="3"/>
    <s v="Chandigarh"/>
    <x v="2"/>
    <s v="Smartphone"/>
    <n v="1"/>
    <n v="29749.25"/>
    <n v="17707.310000000001"/>
    <x v="0"/>
    <n v="12041.94"/>
    <s v="July"/>
    <x v="5"/>
    <n v="0.40478129700748761"/>
    <n v="2.7549318816149927E-4"/>
  </r>
  <r>
    <d v="2023-11-10T00:00:00"/>
    <x v="3"/>
    <s v="Delhi"/>
    <x v="1"/>
    <s v="Bag"/>
    <n v="3"/>
    <n v="104157.6"/>
    <n v="67147.13"/>
    <x v="1"/>
    <n v="37010.47"/>
    <s v="November"/>
    <x v="0"/>
    <n v="0.35533144004854184"/>
    <n v="9.6455235998387109E-4"/>
  </r>
  <r>
    <d v="2023-11-30T00:00:00"/>
    <x v="0"/>
    <s v="Kolkata"/>
    <x v="1"/>
    <s v="Bag"/>
    <n v="6"/>
    <n v="241504.2"/>
    <n v="172483.22"/>
    <x v="2"/>
    <n v="69020.98"/>
    <s v="November"/>
    <x v="0"/>
    <n v="0.28579618905178455"/>
    <n v="2.2364517428974631E-3"/>
  </r>
  <r>
    <d v="2023-02-23T00:00:00"/>
    <x v="0"/>
    <s v="Kolkata"/>
    <x v="3"/>
    <s v="Table"/>
    <n v="3"/>
    <n v="7227"/>
    <n v="4089.76"/>
    <x v="3"/>
    <n v="3137.24"/>
    <s v="February"/>
    <x v="2"/>
    <n v="0.434099903140999"/>
    <n v="6.6925696306399489E-5"/>
  </r>
  <r>
    <d v="2023-07-31T00:00:00"/>
    <x v="2"/>
    <s v="Pune"/>
    <x v="3"/>
    <s v="Sofa"/>
    <n v="2"/>
    <n v="39890"/>
    <n v="29131.91"/>
    <x v="3"/>
    <n v="10758.09"/>
    <s v="July"/>
    <x v="5"/>
    <n v="0.26969390824768114"/>
    <n v="3.6940169166490601E-4"/>
  </r>
  <r>
    <d v="2023-02-14T00:00:00"/>
    <x v="1"/>
    <s v="Bangalore"/>
    <x v="1"/>
    <s v="Wallet"/>
    <n v="4"/>
    <n v="36168.400000000001"/>
    <n v="24293.87"/>
    <x v="0"/>
    <n v="11874.53"/>
    <s v="February"/>
    <x v="2"/>
    <n v="0.3283122836509218"/>
    <n v="3.3493778252226091E-4"/>
  </r>
  <r>
    <d v="2023-06-09T00:00:00"/>
    <x v="2"/>
    <s v="Ahmedabad"/>
    <x v="0"/>
    <s v="Jeans"/>
    <n v="3"/>
    <n v="48725.4"/>
    <n v="35646.33"/>
    <x v="4"/>
    <n v="13079.07"/>
    <s v="June"/>
    <x v="7"/>
    <n v="0.26842406629807042"/>
    <n v="4.5122199014914044E-4"/>
  </r>
  <r>
    <d v="2023-05-25T00:00:00"/>
    <x v="1"/>
    <s v="Hyderabad"/>
    <x v="3"/>
    <s v="Table"/>
    <n v="3"/>
    <n v="61183.8"/>
    <n v="45180.69"/>
    <x v="0"/>
    <n v="16003.11"/>
    <s v="May"/>
    <x v="6"/>
    <n v="0.2615579614211605"/>
    <n v="5.6659311161913462E-4"/>
  </r>
  <r>
    <d v="2023-11-16T00:00:00"/>
    <x v="2"/>
    <s v="Pune"/>
    <x v="1"/>
    <s v="Watch"/>
    <n v="3"/>
    <n v="60710.7"/>
    <n v="38851.65"/>
    <x v="0"/>
    <n v="21859.05"/>
    <s v="November"/>
    <x v="0"/>
    <n v="0.36005267605216212"/>
    <n v="5.6221196495764879E-4"/>
  </r>
  <r>
    <d v="2023-06-26T00:00:00"/>
    <x v="0"/>
    <s v="Bhubaneswar"/>
    <x v="3"/>
    <s v="Cupboard"/>
    <n v="2"/>
    <n v="5830.2"/>
    <n v="3825.15"/>
    <x v="2"/>
    <n v="2005.05"/>
    <s v="June"/>
    <x v="7"/>
    <n v="0.34390758464546672"/>
    <n v="5.3990617767478946E-5"/>
  </r>
  <r>
    <d v="2023-10-04T00:00:00"/>
    <x v="3"/>
    <s v="Delhi"/>
    <x v="3"/>
    <s v="Sofa"/>
    <n v="6"/>
    <n v="118524"/>
    <n v="76705.02"/>
    <x v="3"/>
    <n v="41818.980000000003"/>
    <s v="October"/>
    <x v="1"/>
    <n v="0.35283132530120487"/>
    <n v="1.0975925320353803E-3"/>
  </r>
  <r>
    <d v="2023-11-23T00:00:00"/>
    <x v="3"/>
    <s v="Jaipur"/>
    <x v="2"/>
    <s v="Tablet"/>
    <n v="7"/>
    <n v="234507"/>
    <n v="185433.95"/>
    <x v="3"/>
    <n v="49073.05"/>
    <s v="November"/>
    <x v="0"/>
    <n v="0.20926049115804646"/>
    <n v="2.1716541114881454E-3"/>
  </r>
  <r>
    <d v="2023-08-16T00:00:00"/>
    <x v="3"/>
    <s v="Jaipur"/>
    <x v="3"/>
    <s v="Cupboard"/>
    <n v="3"/>
    <n v="9945"/>
    <n v="7106.7"/>
    <x v="4"/>
    <n v="2838.3"/>
    <s v="August"/>
    <x v="8"/>
    <n v="0.28539969834087481"/>
    <n v="9.2095758927237167E-5"/>
  </r>
  <r>
    <d v="2023-03-21T00:00:00"/>
    <x v="2"/>
    <s v="Mumbai"/>
    <x v="2"/>
    <s v="Tablet"/>
    <n v="3"/>
    <n v="94533.6"/>
    <n v="53230.28"/>
    <x v="1"/>
    <n v="41303.32"/>
    <s v="March"/>
    <x v="9"/>
    <n v="0.43691682110910829"/>
    <n v="8.7542922434629138E-4"/>
  </r>
  <r>
    <d v="2023-12-25T00:00:00"/>
    <x v="3"/>
    <s v="Chandigarh"/>
    <x v="0"/>
    <s v="Jacket"/>
    <n v="7"/>
    <n v="169808.8"/>
    <n v="125116.66"/>
    <x v="1"/>
    <n v="44692.14"/>
    <s v="December"/>
    <x v="4"/>
    <n v="0.26319095359015554"/>
    <n v="1.5725158681270416E-3"/>
  </r>
  <r>
    <d v="2023-01-16T00:00:00"/>
    <x v="0"/>
    <s v="Kolkata"/>
    <x v="0"/>
    <s v="Jeans"/>
    <n v="7"/>
    <n v="275328.90000000002"/>
    <n v="183898.97"/>
    <x v="2"/>
    <n v="91429.93"/>
    <s v="January"/>
    <x v="10"/>
    <n v="0.33207531065572843"/>
    <n v="2.5496856712017486E-3"/>
  </r>
  <r>
    <d v="2023-04-12T00:00:00"/>
    <x v="0"/>
    <s v="Kolkata"/>
    <x v="2"/>
    <s v="Laptop"/>
    <n v="5"/>
    <n v="119267.75"/>
    <n v="90501.68"/>
    <x v="4"/>
    <n v="28766.07"/>
    <s v="April"/>
    <x v="11"/>
    <n v="0.24118900541009619"/>
    <n v="1.1044800353739558E-3"/>
  </r>
  <r>
    <d v="2023-03-02T00:00:00"/>
    <x v="2"/>
    <s v="Mumbai"/>
    <x v="2"/>
    <s v="Smartphone"/>
    <n v="1"/>
    <n v="18418.5"/>
    <n v="14394.95"/>
    <x v="2"/>
    <n v="4023.55"/>
    <s v="March"/>
    <x v="9"/>
    <n v="0.21845155685859327"/>
    <n v="1.7056467931637182E-4"/>
  </r>
  <r>
    <d v="2023-12-25T00:00:00"/>
    <x v="1"/>
    <s v="Hyderabad"/>
    <x v="2"/>
    <s v="Tablet"/>
    <n v="3"/>
    <n v="46464.3"/>
    <n v="35873.599999999999"/>
    <x v="2"/>
    <n v="10590.7"/>
    <s v="December"/>
    <x v="4"/>
    <n v="0.22793198218847588"/>
    <n v="4.3028305394900211E-4"/>
  </r>
  <r>
    <d v="2023-04-02T00:00:00"/>
    <x v="1"/>
    <s v="Hyderabad"/>
    <x v="1"/>
    <s v="Bag"/>
    <n v="6"/>
    <n v="123480"/>
    <n v="97775.42"/>
    <x v="3"/>
    <n v="25704.58"/>
    <s v="April"/>
    <x v="11"/>
    <n v="0.20816796242306448"/>
    <n v="1.1434876131056052E-3"/>
  </r>
  <r>
    <d v="2023-01-18T00:00:00"/>
    <x v="1"/>
    <s v="Hyderabad"/>
    <x v="2"/>
    <s v="Laptop"/>
    <n v="1"/>
    <n v="38514"/>
    <n v="26023.75"/>
    <x v="3"/>
    <n v="12490.25"/>
    <s v="January"/>
    <x v="10"/>
    <n v="0.32430414914057226"/>
    <n v="3.5665923170674835E-4"/>
  </r>
  <r>
    <d v="2023-07-14T00:00:00"/>
    <x v="1"/>
    <s v="Hyderabad"/>
    <x v="2"/>
    <s v="Laptop"/>
    <n v="5"/>
    <n v="188598"/>
    <n v="117619.3"/>
    <x v="4"/>
    <n v="70978.7"/>
    <s v="July"/>
    <x v="5"/>
    <n v="0.37634916595085843"/>
    <n v="1.7465134180149899E-3"/>
  </r>
  <r>
    <d v="2023-11-05T00:00:00"/>
    <x v="1"/>
    <s v="Bangalore"/>
    <x v="3"/>
    <s v="Sofa"/>
    <n v="3"/>
    <n v="34200"/>
    <n v="21231.52"/>
    <x v="1"/>
    <n v="12968.48"/>
    <s v="November"/>
    <x v="0"/>
    <n v="0.37919532163742686"/>
    <n v="3.1670939721583822E-4"/>
  </r>
  <r>
    <d v="2023-01-06T00:00:00"/>
    <x v="3"/>
    <s v="Chandigarh"/>
    <x v="2"/>
    <s v="Laptop"/>
    <n v="2"/>
    <n v="9795.2000000000007"/>
    <n v="5852.47"/>
    <x v="1"/>
    <n v="3942.73"/>
    <s v="January"/>
    <x v="10"/>
    <n v="0.40251653871283893"/>
    <n v="9.0708534725397031E-5"/>
  </r>
  <r>
    <d v="2023-06-16T00:00:00"/>
    <x v="2"/>
    <s v="Mumbai"/>
    <x v="2"/>
    <s v="Smartphone"/>
    <n v="5"/>
    <n v="186770"/>
    <n v="137626.75"/>
    <x v="3"/>
    <n v="49143.25"/>
    <s v="June"/>
    <x v="7"/>
    <n v="0.26312175402901966"/>
    <n v="1.7295852081287164E-3"/>
  </r>
  <r>
    <d v="2023-08-26T00:00:00"/>
    <x v="2"/>
    <s v="Mumbai"/>
    <x v="3"/>
    <s v="Cupboard"/>
    <n v="4"/>
    <n v="155046.39999999999"/>
    <n v="123059.16"/>
    <x v="1"/>
    <n v="31987.24"/>
    <s v="August"/>
    <x v="8"/>
    <n v="0.20630753116486422"/>
    <n v="1.4358085346340859E-3"/>
  </r>
  <r>
    <d v="2023-03-20T00:00:00"/>
    <x v="2"/>
    <s v="Mumbai"/>
    <x v="1"/>
    <s v="Wallet"/>
    <n v="3"/>
    <n v="121510.8"/>
    <n v="95443.87"/>
    <x v="2"/>
    <n v="26066.93"/>
    <s v="March"/>
    <x v="9"/>
    <n v="0.2145235649835241"/>
    <n v="1.1252518193922304E-3"/>
  </r>
  <r>
    <d v="2023-08-06T00:00:00"/>
    <x v="1"/>
    <s v="Chennai"/>
    <x v="3"/>
    <s v="Table"/>
    <n v="6"/>
    <n v="36482.400000000001"/>
    <n v="26623.21"/>
    <x v="2"/>
    <n v="9859.19"/>
    <s v="August"/>
    <x v="8"/>
    <n v="0.27024510448873978"/>
    <n v="3.3784558225108467E-4"/>
  </r>
  <r>
    <d v="2023-11-15T00:00:00"/>
    <x v="3"/>
    <s v="Jaipur"/>
    <x v="2"/>
    <s v="Headphones"/>
    <n v="6"/>
    <n v="263406.59999999998"/>
    <n v="170161.92000000001"/>
    <x v="2"/>
    <n v="93244.68"/>
    <s v="November"/>
    <x v="0"/>
    <n v="0.35399523018785406"/>
    <n v="2.4392791084407429E-3"/>
  </r>
  <r>
    <d v="2023-10-23T00:00:00"/>
    <x v="3"/>
    <s v="Chandigarh"/>
    <x v="0"/>
    <s v="Shirt"/>
    <n v="7"/>
    <n v="237244.35"/>
    <n v="145430.68"/>
    <x v="4"/>
    <n v="91813.67"/>
    <s v="October"/>
    <x v="1"/>
    <n v="0.3870004491150158"/>
    <n v="2.1970033649521448E-3"/>
  </r>
  <r>
    <d v="2023-07-21T00:00:00"/>
    <x v="3"/>
    <s v="Delhi"/>
    <x v="2"/>
    <s v="Tablet"/>
    <n v="4"/>
    <n v="150264"/>
    <n v="102302.97"/>
    <x v="3"/>
    <n v="47961.03"/>
    <s v="July"/>
    <x v="5"/>
    <n v="0.3191784459351541"/>
    <n v="1.3915210778725354E-3"/>
  </r>
  <r>
    <d v="2023-01-23T00:00:00"/>
    <x v="1"/>
    <s v="Hyderabad"/>
    <x v="1"/>
    <s v="Bag"/>
    <n v="4"/>
    <n v="16357.4"/>
    <n v="10257.530000000001"/>
    <x v="4"/>
    <n v="6099.87"/>
    <s v="January"/>
    <x v="10"/>
    <n v="0.37291195422255369"/>
    <n v="1.5147784485433776E-4"/>
  </r>
  <r>
    <d v="2023-01-22T00:00:00"/>
    <x v="0"/>
    <s v="Patna"/>
    <x v="2"/>
    <s v="Laptop"/>
    <n v="5"/>
    <n v="207965"/>
    <n v="119675.92"/>
    <x v="3"/>
    <n v="88289.08"/>
    <s v="January"/>
    <x v="10"/>
    <n v="0.42453816748010481"/>
    <n v="1.9258616898243214E-3"/>
  </r>
  <r>
    <d v="2023-12-24T00:00:00"/>
    <x v="3"/>
    <s v="Delhi"/>
    <x v="2"/>
    <s v="Tablet"/>
    <n v="2"/>
    <n v="81898.2"/>
    <n v="51303.12"/>
    <x v="2"/>
    <n v="30595.08"/>
    <s v="December"/>
    <x v="4"/>
    <n v="0.37357451079510906"/>
    <n v="7.5841899283807484E-4"/>
  </r>
  <r>
    <d v="2023-07-23T00:00:00"/>
    <x v="3"/>
    <s v="Chandigarh"/>
    <x v="3"/>
    <s v="Sofa"/>
    <n v="2"/>
    <n v="34251.599999999999"/>
    <n v="27167.42"/>
    <x v="4"/>
    <n v="7084.18"/>
    <s v="July"/>
    <x v="5"/>
    <n v="0.20682771023835383"/>
    <n v="3.1718723946426913E-4"/>
  </r>
  <r>
    <d v="2023-10-14T00:00:00"/>
    <x v="1"/>
    <s v="Hyderabad"/>
    <x v="1"/>
    <s v="Bag"/>
    <n v="2"/>
    <n v="31381.200000000001"/>
    <n v="23675.46"/>
    <x v="2"/>
    <n v="7705.74"/>
    <s v="October"/>
    <x v="1"/>
    <n v="0.24555275132882107"/>
    <n v="2.9060587531899598E-4"/>
  </r>
  <r>
    <d v="2023-11-07T00:00:00"/>
    <x v="3"/>
    <s v="Delhi"/>
    <x v="3"/>
    <s v="Chair"/>
    <n v="2"/>
    <n v="12566"/>
    <n v="9760.2199999999993"/>
    <x v="3"/>
    <n v="2805.78"/>
    <s v="November"/>
    <x v="0"/>
    <n v="0.22328346331370366"/>
    <n v="1.1636755220509424E-4"/>
  </r>
  <r>
    <d v="2023-07-17T00:00:00"/>
    <x v="3"/>
    <s v="Delhi"/>
    <x v="3"/>
    <s v="Cupboard"/>
    <n v="2"/>
    <n v="65824.2"/>
    <n v="46109.55"/>
    <x v="2"/>
    <n v="19714.650000000001"/>
    <s v="July"/>
    <x v="5"/>
    <n v="0.29950458949747971"/>
    <n v="6.095655761466309E-4"/>
  </r>
  <r>
    <d v="2023-10-30T00:00:00"/>
    <x v="0"/>
    <s v="Bhubaneswar"/>
    <x v="0"/>
    <s v="Jacket"/>
    <n v="5"/>
    <n v="126645.75"/>
    <n v="98031.94"/>
    <x v="4"/>
    <n v="28613.81"/>
    <s v="October"/>
    <x v="1"/>
    <n v="0.22593580913690353"/>
    <n v="1.1728040684926241E-3"/>
  </r>
  <r>
    <d v="2023-03-29T00:00:00"/>
    <x v="3"/>
    <s v="Chandigarh"/>
    <x v="3"/>
    <s v="Sofa"/>
    <n v="7"/>
    <n v="138778.85"/>
    <n v="87452.18"/>
    <x v="0"/>
    <n v="51326.67"/>
    <s v="March"/>
    <x v="9"/>
    <n v="0.36984504483211955"/>
    <n v="1.2851627464855915E-3"/>
  </r>
  <r>
    <d v="2023-03-06T00:00:00"/>
    <x v="1"/>
    <s v="Chennai"/>
    <x v="0"/>
    <s v="Jeans"/>
    <n v="7"/>
    <n v="315961.45"/>
    <n v="231395.59"/>
    <x v="0"/>
    <n v="84565.86"/>
    <s v="March"/>
    <x v="9"/>
    <n v="0.26764613214681726"/>
    <n v="2.9259637535948013E-3"/>
  </r>
  <r>
    <d v="2023-03-29T00:00:00"/>
    <x v="1"/>
    <s v="Bangalore"/>
    <x v="0"/>
    <s v="Jeans"/>
    <n v="5"/>
    <n v="129564"/>
    <n v="100201.88"/>
    <x v="1"/>
    <n v="29362.12"/>
    <s v="March"/>
    <x v="9"/>
    <n v="0.2266225186008459"/>
    <n v="1.1998285479787386E-3"/>
  </r>
  <r>
    <d v="2023-12-19T00:00:00"/>
    <x v="2"/>
    <s v="Ahmedabad"/>
    <x v="1"/>
    <s v="Bag"/>
    <n v="4"/>
    <n v="47380"/>
    <n v="27602.62"/>
    <x v="3"/>
    <n v="19777.38"/>
    <s v="December"/>
    <x v="4"/>
    <n v="0.41742043056141837"/>
    <n v="4.3876290175691272E-4"/>
  </r>
  <r>
    <d v="2023-07-27T00:00:00"/>
    <x v="2"/>
    <s v="Pune"/>
    <x v="1"/>
    <s v="Watch"/>
    <n v="3"/>
    <n v="64002.45"/>
    <n v="37308.78"/>
    <x v="4"/>
    <n v="26693.67"/>
    <s v="July"/>
    <x v="5"/>
    <n v="0.41707262768847131"/>
    <n v="5.9269524443967322E-4"/>
  </r>
  <r>
    <d v="2023-06-12T00:00:00"/>
    <x v="2"/>
    <s v="Mumbai"/>
    <x v="1"/>
    <s v="Bag"/>
    <n v="2"/>
    <n v="59754"/>
    <n v="36348.17"/>
    <x v="3"/>
    <n v="23405.83"/>
    <s v="June"/>
    <x v="7"/>
    <n v="0.39170314957994445"/>
    <n v="5.5335243629342674E-4"/>
  </r>
  <r>
    <d v="2023-05-18T00:00:00"/>
    <x v="0"/>
    <s v="Kolkata"/>
    <x v="2"/>
    <s v="Laptop"/>
    <n v="2"/>
    <n v="27316.3"/>
    <n v="17425.82"/>
    <x v="0"/>
    <n v="9890.48"/>
    <s v="May"/>
    <x v="6"/>
    <n v="0.36207246222951134"/>
    <n v="2.5296283354289478E-4"/>
  </r>
  <r>
    <d v="2023-02-25T00:00:00"/>
    <x v="0"/>
    <s v="Patna"/>
    <x v="3"/>
    <s v="Cupboard"/>
    <n v="7"/>
    <n v="265767.25"/>
    <n v="195397.61"/>
    <x v="0"/>
    <n v="70369.64"/>
    <s v="February"/>
    <x v="2"/>
    <n v="0.26477920059751531"/>
    <n v="2.4611399282810226E-3"/>
  </r>
  <r>
    <d v="2023-01-22T00:00:00"/>
    <x v="3"/>
    <s v="Chandigarh"/>
    <x v="3"/>
    <s v="Table"/>
    <n v="1"/>
    <n v="993.65"/>
    <n v="602.95000000000005"/>
    <x v="4"/>
    <n v="390.7"/>
    <s v="January"/>
    <x v="10"/>
    <n v="0.39319679967795501"/>
    <n v="9.2017044603367735E-6"/>
  </r>
  <r>
    <d v="2023-06-17T00:00:00"/>
    <x v="1"/>
    <s v="Chennai"/>
    <x v="2"/>
    <s v="Laptop"/>
    <n v="1"/>
    <n v="35056.800000000003"/>
    <n v="25078.46"/>
    <x v="2"/>
    <n v="9978.34"/>
    <s v="June"/>
    <x v="7"/>
    <n v="0.28463350904817325"/>
    <n v="3.2464380106187715E-4"/>
  </r>
  <r>
    <d v="2023-06-16T00:00:00"/>
    <x v="3"/>
    <s v="Delhi"/>
    <x v="2"/>
    <s v="Headphones"/>
    <n v="6"/>
    <n v="253964.7"/>
    <n v="147963.1"/>
    <x v="4"/>
    <n v="106001.60000000001"/>
    <s v="June"/>
    <x v="7"/>
    <n v="0.41738714081130174"/>
    <n v="2.3518423114357073E-3"/>
  </r>
  <r>
    <d v="2023-02-06T00:00:00"/>
    <x v="3"/>
    <s v="Chandigarh"/>
    <x v="0"/>
    <s v="Shirt"/>
    <n v="6"/>
    <n v="33033.599999999999"/>
    <n v="23051.68"/>
    <x v="1"/>
    <n v="9981.92"/>
    <s v="February"/>
    <x v="2"/>
    <n v="0.30217475540056188"/>
    <n v="3.059079398792138E-4"/>
  </r>
  <r>
    <d v="2023-11-24T00:00:00"/>
    <x v="0"/>
    <s v="Bhubaneswar"/>
    <x v="3"/>
    <s v="Chair"/>
    <n v="5"/>
    <n v="203395"/>
    <n v="151864.04"/>
    <x v="0"/>
    <n v="51530.96"/>
    <s v="November"/>
    <x v="0"/>
    <n v="0.25335411391627127"/>
    <n v="1.8835411651086378E-3"/>
  </r>
  <r>
    <d v="2023-12-29T00:00:00"/>
    <x v="3"/>
    <s v="Delhi"/>
    <x v="2"/>
    <s v="Smartphone"/>
    <n v="6"/>
    <n v="254439"/>
    <n v="140202.64000000001"/>
    <x v="4"/>
    <n v="114236.36"/>
    <s v="December"/>
    <x v="4"/>
    <n v="0.44897346711785535"/>
    <n v="2.3562345707076214E-3"/>
  </r>
  <r>
    <d v="2023-09-10T00:00:00"/>
    <x v="3"/>
    <s v="Chandigarh"/>
    <x v="1"/>
    <s v="Wallet"/>
    <n v="4"/>
    <n v="99307.199999999997"/>
    <n v="72216.179999999993"/>
    <x v="4"/>
    <n v="27091.02"/>
    <s v="September"/>
    <x v="3"/>
    <n v="0.27280015950505099"/>
    <n v="9.1963518863136511E-4"/>
  </r>
  <r>
    <d v="2023-05-05T00:00:00"/>
    <x v="0"/>
    <s v="Patna"/>
    <x v="1"/>
    <s v="Watch"/>
    <n v="2"/>
    <n v="69516"/>
    <n v="48143.08"/>
    <x v="3"/>
    <n v="21372.92"/>
    <s v="May"/>
    <x v="6"/>
    <n v="0.30745324817308245"/>
    <n v="6.4375352213029847E-4"/>
  </r>
  <r>
    <d v="2023-04-15T00:00:00"/>
    <x v="1"/>
    <s v="Bangalore"/>
    <x v="3"/>
    <s v="Chair"/>
    <n v="1"/>
    <n v="34256.699999999997"/>
    <n v="22334.46"/>
    <x v="2"/>
    <n v="11922.24"/>
    <s v="April"/>
    <x v="11"/>
    <n v="0.34802651744038393"/>
    <n v="3.1723446805859075E-4"/>
  </r>
  <r>
    <d v="2023-04-15T00:00:00"/>
    <x v="1"/>
    <s v="Chennai"/>
    <x v="1"/>
    <s v="Watch"/>
    <n v="7"/>
    <n v="33855.5"/>
    <n v="22425.74"/>
    <x v="4"/>
    <n v="11429.76"/>
    <s v="April"/>
    <x v="11"/>
    <n v="0.3376042297411056"/>
    <n v="3.1351915197195353E-4"/>
  </r>
  <r>
    <d v="2023-07-07T00:00:00"/>
    <x v="1"/>
    <s v="Hyderabad"/>
    <x v="3"/>
    <s v="Sofa"/>
    <n v="1"/>
    <n v="7536"/>
    <n v="5271.79"/>
    <x v="3"/>
    <n v="2264.21"/>
    <s v="July"/>
    <x v="5"/>
    <n v="0.30045249469214436"/>
    <n v="6.9787193491770662E-5"/>
  </r>
  <r>
    <d v="2023-06-13T00:00:00"/>
    <x v="1"/>
    <s v="Bangalore"/>
    <x v="0"/>
    <s v="Jeans"/>
    <n v="1"/>
    <n v="29120.799999999999"/>
    <n v="20091.86"/>
    <x v="1"/>
    <n v="9028.94"/>
    <s v="June"/>
    <x v="7"/>
    <n v="0.3100512348561853"/>
    <n v="2.6967342147494094E-4"/>
  </r>
  <r>
    <d v="2023-07-27T00:00:00"/>
    <x v="2"/>
    <s v="Mumbai"/>
    <x v="0"/>
    <s v="Shirt"/>
    <n v="2"/>
    <n v="68849.600000000006"/>
    <n v="52842.5"/>
    <x v="1"/>
    <n v="16007.1"/>
    <s v="July"/>
    <x v="5"/>
    <n v="0.23249372545374264"/>
    <n v="6.3758231913893493E-4"/>
  </r>
  <r>
    <d v="2023-01-10T00:00:00"/>
    <x v="1"/>
    <s v="Hyderabad"/>
    <x v="1"/>
    <s v="Bag"/>
    <n v="2"/>
    <n v="55027.199999999997"/>
    <n v="34566.89"/>
    <x v="1"/>
    <n v="20460.310000000001"/>
    <s v="January"/>
    <x v="10"/>
    <n v="0.37182175360548969"/>
    <n v="5.095798638150693E-4"/>
  </r>
  <r>
    <d v="2023-05-18T00:00:00"/>
    <x v="1"/>
    <s v="Hyderabad"/>
    <x v="3"/>
    <s v="Chair"/>
    <n v="7"/>
    <n v="143490.20000000001"/>
    <n v="88763.46"/>
    <x v="4"/>
    <n v="54726.74"/>
    <s v="May"/>
    <x v="6"/>
    <n v="0.3813970570812501"/>
    <n v="1.3287922441046806E-3"/>
  </r>
  <r>
    <d v="2023-11-13T00:00:00"/>
    <x v="0"/>
    <s v="Kolkata"/>
    <x v="3"/>
    <s v="Cupboard"/>
    <n v="6"/>
    <n v="248274"/>
    <n v="170722.22"/>
    <x v="3"/>
    <n v="77551.78"/>
    <s v="November"/>
    <x v="0"/>
    <n v="0.31236367883870242"/>
    <n v="2.299143534630556E-3"/>
  </r>
  <r>
    <d v="2023-08-29T00:00:00"/>
    <x v="1"/>
    <s v="Chennai"/>
    <x v="1"/>
    <s v="Watch"/>
    <n v="5"/>
    <n v="57296"/>
    <n v="38207.660000000003"/>
    <x v="1"/>
    <n v="19088.34"/>
    <s v="August"/>
    <x v="8"/>
    <n v="0.33315309969282325"/>
    <n v="5.3059010593212478E-4"/>
  </r>
  <r>
    <d v="2023-05-19T00:00:00"/>
    <x v="2"/>
    <s v="Ahmedabad"/>
    <x v="0"/>
    <s v="Shirt"/>
    <n v="5"/>
    <n v="148950"/>
    <n v="101539.85"/>
    <x v="3"/>
    <n v="47410.15"/>
    <s v="May"/>
    <x v="6"/>
    <n v="0.31829573682443774"/>
    <n v="1.3793527694531901E-3"/>
  </r>
  <r>
    <d v="2023-01-10T00:00:00"/>
    <x v="2"/>
    <s v="Pune"/>
    <x v="1"/>
    <s v="Belt"/>
    <n v="5"/>
    <n v="177190"/>
    <n v="130211.38"/>
    <x v="3"/>
    <n v="46978.62"/>
    <s v="January"/>
    <x v="10"/>
    <n v="0.26513132795304478"/>
    <n v="1.6408695348735197E-3"/>
  </r>
  <r>
    <d v="2023-02-17T00:00:00"/>
    <x v="2"/>
    <s v="Mumbai"/>
    <x v="2"/>
    <s v="Tablet"/>
    <n v="2"/>
    <n v="72048"/>
    <n v="51631.86"/>
    <x v="3"/>
    <n v="20416.14"/>
    <s v="February"/>
    <x v="2"/>
    <n v="0.28336858760826117"/>
    <n v="6.6720113013469921E-4"/>
  </r>
  <r>
    <d v="2023-09-22T00:00:00"/>
    <x v="3"/>
    <s v="Chandigarh"/>
    <x v="2"/>
    <s v="Laptop"/>
    <n v="4"/>
    <n v="151114.6"/>
    <n v="115583.89"/>
    <x v="0"/>
    <n v="35530.71"/>
    <s v="September"/>
    <x v="3"/>
    <n v="0.23512426992494437"/>
    <n v="1.3993980665646933E-3"/>
  </r>
  <r>
    <d v="2023-11-22T00:00:00"/>
    <x v="1"/>
    <s v="Hyderabad"/>
    <x v="1"/>
    <s v="Bag"/>
    <n v="2"/>
    <n v="78853.8"/>
    <n v="62408.26"/>
    <x v="0"/>
    <n v="16445.54"/>
    <s v="November"/>
    <x v="0"/>
    <n v="0.20855735551108506"/>
    <n v="7.30226300180651E-4"/>
  </r>
  <r>
    <d v="2023-11-02T00:00:00"/>
    <x v="1"/>
    <s v="Chennai"/>
    <x v="3"/>
    <s v="Table"/>
    <n v="2"/>
    <n v="57726"/>
    <n v="37594.07"/>
    <x v="3"/>
    <n v="20131.93"/>
    <s v="November"/>
    <x v="0"/>
    <n v="0.34874978345979279"/>
    <n v="5.3457212466904904E-4"/>
  </r>
  <r>
    <d v="2023-06-15T00:00:00"/>
    <x v="3"/>
    <s v="Jaipur"/>
    <x v="2"/>
    <s v="Headphones"/>
    <n v="2"/>
    <n v="89117.6"/>
    <n v="57710.06"/>
    <x v="0"/>
    <n v="31407.54"/>
    <s v="June"/>
    <x v="7"/>
    <n v="0.35242802768476705"/>
    <n v="8.2527430927842652E-4"/>
  </r>
  <r>
    <d v="2023-06-27T00:00:00"/>
    <x v="0"/>
    <s v="Bhubaneswar"/>
    <x v="2"/>
    <s v="Tablet"/>
    <n v="4"/>
    <n v="34019.199999999997"/>
    <n v="23739.89"/>
    <x v="1"/>
    <n v="10279.31"/>
    <s v="June"/>
    <x v="7"/>
    <n v="0.30216201439187285"/>
    <n v="3.150350972445919E-4"/>
  </r>
  <r>
    <d v="2023-11-22T00:00:00"/>
    <x v="1"/>
    <s v="Chennai"/>
    <x v="3"/>
    <s v="Table"/>
    <n v="1"/>
    <n v="21012.1"/>
    <n v="13184.39"/>
    <x v="0"/>
    <n v="7827.71"/>
    <s v="November"/>
    <x v="0"/>
    <n v="0.37253344501501517"/>
    <n v="1.9458273465610857E-4"/>
  </r>
  <r>
    <d v="2023-08-29T00:00:00"/>
    <x v="1"/>
    <s v="Chennai"/>
    <x v="0"/>
    <s v="Shirt"/>
    <n v="7"/>
    <n v="236300.4"/>
    <n v="176120.04"/>
    <x v="2"/>
    <n v="60180.36"/>
    <s v="August"/>
    <x v="8"/>
    <n v="0.25467735137138997"/>
    <n v="2.1882619077737268E-3"/>
  </r>
  <r>
    <d v="2023-06-03T00:00:00"/>
    <x v="1"/>
    <s v="Hyderabad"/>
    <x v="2"/>
    <s v="Tablet"/>
    <n v="6"/>
    <n v="219175.2"/>
    <n v="155279.57"/>
    <x v="2"/>
    <n v="63895.63"/>
    <s v="June"/>
    <x v="7"/>
    <n v="0.29152764546353782"/>
    <n v="2.0296738443468065E-3"/>
  </r>
  <r>
    <d v="2023-02-16T00:00:00"/>
    <x v="2"/>
    <s v="Pune"/>
    <x v="2"/>
    <s v="Tablet"/>
    <n v="7"/>
    <n v="171339"/>
    <n v="102830.48"/>
    <x v="3"/>
    <n v="68508.52"/>
    <s v="February"/>
    <x v="2"/>
    <n v="0.39984195075260159"/>
    <n v="1.5866862985252778E-3"/>
  </r>
  <r>
    <d v="2023-10-14T00:00:00"/>
    <x v="3"/>
    <s v="Delhi"/>
    <x v="3"/>
    <s v="Table"/>
    <n v="1"/>
    <n v="7487.2"/>
    <n v="5059.6099999999997"/>
    <x v="1"/>
    <n v="2427.59"/>
    <s v="October"/>
    <x v="1"/>
    <n v="0.32423202265199275"/>
    <n v="6.9335280667673211E-5"/>
  </r>
  <r>
    <d v="2023-06-17T00:00:00"/>
    <x v="3"/>
    <s v="Chandigarh"/>
    <x v="3"/>
    <s v="Cupboard"/>
    <n v="3"/>
    <n v="13942.2"/>
    <n v="8297.83"/>
    <x v="0"/>
    <n v="5644.37"/>
    <s v="June"/>
    <x v="7"/>
    <n v="0.40484069945919582"/>
    <n v="1.2911186426499004E-4"/>
  </r>
  <r>
    <d v="2023-05-18T00:00:00"/>
    <x v="1"/>
    <s v="Bangalore"/>
    <x v="2"/>
    <s v="Laptop"/>
    <n v="1"/>
    <n v="14631.05"/>
    <n v="9749.7199999999993"/>
    <x v="4"/>
    <n v="4881.33"/>
    <s v="May"/>
    <x v="6"/>
    <n v="0.33362814015398762"/>
    <n v="1.3549096567645584E-4"/>
  </r>
  <r>
    <d v="2023-11-27T00:00:00"/>
    <x v="0"/>
    <s v="Bhubaneswar"/>
    <x v="3"/>
    <s v="Table"/>
    <n v="4"/>
    <n v="65664"/>
    <n v="38567.74"/>
    <x v="3"/>
    <n v="27096.26"/>
    <s v="November"/>
    <x v="0"/>
    <n v="0.41265015838206626"/>
    <n v="6.0808204265440933E-4"/>
  </r>
  <r>
    <d v="2023-01-31T00:00:00"/>
    <x v="3"/>
    <s v="Delhi"/>
    <x v="0"/>
    <s v="T-Shirt"/>
    <n v="2"/>
    <n v="59770.2"/>
    <n v="40096.870000000003"/>
    <x v="0"/>
    <n v="19673.330000000002"/>
    <s v="January"/>
    <x v="10"/>
    <n v="0.329149475825746"/>
    <n v="5.535024565342132E-4"/>
  </r>
  <r>
    <d v="2023-01-19T00:00:00"/>
    <x v="1"/>
    <s v="Chennai"/>
    <x v="3"/>
    <s v="Cupboard"/>
    <n v="2"/>
    <n v="53026"/>
    <n v="32209.53"/>
    <x v="3"/>
    <n v="20816.47"/>
    <s v="January"/>
    <x v="10"/>
    <n v="0.39257100290423569"/>
    <n v="4.9104773382359758E-4"/>
  </r>
  <r>
    <d v="2023-05-22T00:00:00"/>
    <x v="2"/>
    <s v="Ahmedabad"/>
    <x v="0"/>
    <s v="Jacket"/>
    <n v="4"/>
    <n v="165832"/>
    <n v="102570.54"/>
    <x v="3"/>
    <n v="63261.46"/>
    <s v="May"/>
    <x v="6"/>
    <n v="0.38147920787302814"/>
    <n v="1.5356886771665755E-3"/>
  </r>
  <r>
    <d v="2023-10-03T00:00:00"/>
    <x v="0"/>
    <s v="Kolkata"/>
    <x v="3"/>
    <s v="Table"/>
    <n v="5"/>
    <n v="67324"/>
    <n v="38008.06"/>
    <x v="1"/>
    <n v="29315.94"/>
    <s v="October"/>
    <x v="1"/>
    <n v="0.43544560632166834"/>
    <n v="6.2345448708067523E-4"/>
  </r>
  <r>
    <d v="2023-12-24T00:00:00"/>
    <x v="0"/>
    <s v="Kolkata"/>
    <x v="0"/>
    <s v="Jeans"/>
    <n v="3"/>
    <n v="108137.85"/>
    <n v="84099.73"/>
    <x v="4"/>
    <n v="24038.12"/>
    <s v="December"/>
    <x v="4"/>
    <n v="0.22229145484212973"/>
    <n v="1.0014114996993197E-3"/>
  </r>
  <r>
    <d v="2023-11-20T00:00:00"/>
    <x v="0"/>
    <s v="Patna"/>
    <x v="1"/>
    <s v="Wallet"/>
    <n v="3"/>
    <n v="111486"/>
    <n v="77089.460000000006"/>
    <x v="4"/>
    <n v="34396.54"/>
    <s v="November"/>
    <x v="0"/>
    <n v="0.30852788690956712"/>
    <n v="1.0324170718714893E-3"/>
  </r>
  <r>
    <d v="2023-04-12T00:00:00"/>
    <x v="0"/>
    <s v="Kolkata"/>
    <x v="2"/>
    <s v="Laptop"/>
    <n v="4"/>
    <n v="105868.8"/>
    <n v="77336.710000000006"/>
    <x v="1"/>
    <n v="28532.09"/>
    <s v="April"/>
    <x v="11"/>
    <n v="0.26950423543102403"/>
    <n v="9.8039894245509156E-4"/>
  </r>
  <r>
    <d v="2023-03-18T00:00:00"/>
    <x v="1"/>
    <s v="Bangalore"/>
    <x v="0"/>
    <s v="Shirt"/>
    <n v="2"/>
    <n v="6922.8"/>
    <n v="4578.8999999999996"/>
    <x v="2"/>
    <n v="2343.9"/>
    <s v="March"/>
    <x v="9"/>
    <n v="0.33857687640838968"/>
    <n v="6.4108649562742831E-5"/>
  </r>
  <r>
    <d v="2023-08-13T00:00:00"/>
    <x v="1"/>
    <s v="Bangalore"/>
    <x v="3"/>
    <s v="Table"/>
    <n v="6"/>
    <n v="125073.60000000001"/>
    <n v="94179.41"/>
    <x v="1"/>
    <n v="30894.19"/>
    <s v="August"/>
    <x v="8"/>
    <n v="0.24700808164152946"/>
    <n v="1.1582451597548205E-3"/>
  </r>
  <r>
    <d v="2023-06-07T00:00:00"/>
    <x v="1"/>
    <s v="Bangalore"/>
    <x v="1"/>
    <s v="Wallet"/>
    <n v="7"/>
    <n v="249669"/>
    <n v="184960.72"/>
    <x v="3"/>
    <n v="64708.28"/>
    <s v="June"/>
    <x v="7"/>
    <n v="0.25917626938065996"/>
    <n v="2.3120619442538338E-3"/>
  </r>
  <r>
    <d v="2023-02-12T00:00:00"/>
    <x v="1"/>
    <s v="Bangalore"/>
    <x v="3"/>
    <s v="Sofa"/>
    <n v="7"/>
    <n v="307090.34999999998"/>
    <n v="187551.24"/>
    <x v="0"/>
    <n v="119539.11"/>
    <s v="February"/>
    <x v="2"/>
    <n v="0.3892636483041555"/>
    <n v="2.8438128549503152E-3"/>
  </r>
  <r>
    <d v="2023-03-04T00:00:00"/>
    <x v="2"/>
    <s v="Ahmedabad"/>
    <x v="2"/>
    <s v="Headphones"/>
    <n v="4"/>
    <n v="116132.4"/>
    <n v="83536.960000000006"/>
    <x v="2"/>
    <n v="32595.439999999999"/>
    <s v="March"/>
    <x v="9"/>
    <n v="0.28067481598589195"/>
    <n v="1.0754450994511289E-3"/>
  </r>
  <r>
    <d v="2023-12-04T00:00:00"/>
    <x v="1"/>
    <s v="Hyderabad"/>
    <x v="2"/>
    <s v="Tablet"/>
    <n v="6"/>
    <n v="9784.7999999999993"/>
    <n v="7664.13"/>
    <x v="2"/>
    <n v="2120.67"/>
    <s v="December"/>
    <x v="4"/>
    <n v="0.21673105224429731"/>
    <n v="9.0612225435015605E-5"/>
  </r>
  <r>
    <d v="2023-03-05T00:00:00"/>
    <x v="0"/>
    <s v="Patna"/>
    <x v="0"/>
    <s v="Jeans"/>
    <n v="6"/>
    <n v="252144"/>
    <n v="143446.64000000001"/>
    <x v="4"/>
    <n v="108697.36"/>
    <s v="March"/>
    <x v="9"/>
    <n v="0.43109239164921631"/>
    <n v="2.3349817032628744E-3"/>
  </r>
  <r>
    <d v="2023-07-09T00:00:00"/>
    <x v="1"/>
    <s v="Chennai"/>
    <x v="1"/>
    <s v="Watch"/>
    <n v="6"/>
    <n v="96244.2"/>
    <n v="56963.83"/>
    <x v="2"/>
    <n v="39280.370000000003"/>
    <s v="July"/>
    <x v="5"/>
    <n v="0.40813233420819128"/>
    <n v="8.9127025051229753E-4"/>
  </r>
  <r>
    <d v="2023-10-08T00:00:00"/>
    <x v="3"/>
    <s v="Chandigarh"/>
    <x v="1"/>
    <s v="Watch"/>
    <n v="3"/>
    <n v="71943.149999999994"/>
    <n v="52538.69"/>
    <x v="4"/>
    <n v="19404.46"/>
    <s v="October"/>
    <x v="1"/>
    <n v="0.26971935479611331"/>
    <n v="6.6623016579849795E-4"/>
  </r>
  <r>
    <d v="2023-09-29T00:00:00"/>
    <x v="1"/>
    <s v="Bangalore"/>
    <x v="3"/>
    <s v="Chair"/>
    <n v="7"/>
    <n v="112056"/>
    <n v="74817.16"/>
    <x v="1"/>
    <n v="37238.839999999997"/>
    <s v="September"/>
    <x v="3"/>
    <n v="0.33232348111658455"/>
    <n v="1.0376955618250868E-3"/>
  </r>
  <r>
    <d v="2023-09-27T00:00:00"/>
    <x v="1"/>
    <s v="Bangalore"/>
    <x v="1"/>
    <s v="Watch"/>
    <n v="7"/>
    <n v="175316.4"/>
    <n v="100078.45"/>
    <x v="2"/>
    <n v="75237.95"/>
    <s v="September"/>
    <x v="3"/>
    <n v="0.42915523020093954"/>
    <n v="1.6235190457909584E-3"/>
  </r>
  <r>
    <d v="2023-04-21T00:00:00"/>
    <x v="2"/>
    <s v="Pune"/>
    <x v="0"/>
    <s v="T-Shirt"/>
    <n v="2"/>
    <n v="13721.8"/>
    <n v="8732.6200000000008"/>
    <x v="0"/>
    <n v="4989.18"/>
    <s v="April"/>
    <x v="11"/>
    <n v="0.36359515515457158"/>
    <n v="1.2707084814959907E-4"/>
  </r>
  <r>
    <d v="2023-02-26T00:00:00"/>
    <x v="3"/>
    <s v="Jaipur"/>
    <x v="2"/>
    <s v="Tablet"/>
    <n v="3"/>
    <n v="83798.399999999994"/>
    <n v="62152.61"/>
    <x v="1"/>
    <n v="21645.79"/>
    <s v="February"/>
    <x v="2"/>
    <n v="0.25830791518692486"/>
    <n v="7.7601581145180399E-4"/>
  </r>
  <r>
    <d v="2023-05-11T00:00:00"/>
    <x v="2"/>
    <s v="Mumbai"/>
    <x v="0"/>
    <s v="Jacket"/>
    <n v="7"/>
    <n v="93545.9"/>
    <n v="67256.990000000005"/>
    <x v="4"/>
    <n v="26288.91"/>
    <s v="May"/>
    <x v="6"/>
    <n v="0.28102685419670986"/>
    <n v="8.662826199126631E-4"/>
  </r>
  <r>
    <d v="2023-01-09T00:00:00"/>
    <x v="3"/>
    <s v="Chandigarh"/>
    <x v="2"/>
    <s v="Tablet"/>
    <n v="2"/>
    <n v="64722.6"/>
    <n v="49604.13"/>
    <x v="2"/>
    <n v="15118.47"/>
    <s v="January"/>
    <x v="10"/>
    <n v="0.23358873098423116"/>
    <n v="5.9936419977315236E-4"/>
  </r>
  <r>
    <d v="2023-07-10T00:00:00"/>
    <x v="3"/>
    <s v="Jaipur"/>
    <x v="0"/>
    <s v="Shirt"/>
    <n v="4"/>
    <n v="19815.2"/>
    <n v="14944.59"/>
    <x v="4"/>
    <n v="4870.6099999999997"/>
    <s v="July"/>
    <x v="5"/>
    <n v="0.24580170777988614"/>
    <n v="1.8349883180442331E-4"/>
  </r>
  <r>
    <d v="2023-07-15T00:00:00"/>
    <x v="0"/>
    <s v="Kolkata"/>
    <x v="2"/>
    <s v="Headphones"/>
    <n v="7"/>
    <n v="265104"/>
    <n v="194367.64"/>
    <x v="2"/>
    <n v="70736.36"/>
    <s v="July"/>
    <x v="5"/>
    <n v="0.26682494417285291"/>
    <n v="2.4549978958920342E-3"/>
  </r>
  <r>
    <d v="2023-12-31T00:00:00"/>
    <x v="3"/>
    <s v="Jaipur"/>
    <x v="1"/>
    <s v="Watch"/>
    <n v="2"/>
    <n v="3194.3"/>
    <n v="2264.87"/>
    <x v="4"/>
    <n v="929.43"/>
    <s v="December"/>
    <x v="4"/>
    <n v="0.29096515668534573"/>
    <n v="2.9580842910133102E-5"/>
  </r>
  <r>
    <d v="2023-01-25T00:00:00"/>
    <x v="2"/>
    <s v="Ahmedabad"/>
    <x v="1"/>
    <s v="Bag"/>
    <n v="2"/>
    <n v="62206.400000000001"/>
    <n v="47633.99"/>
    <x v="1"/>
    <n v="14572.41"/>
    <s v="January"/>
    <x v="10"/>
    <n v="0.2342590151495666"/>
    <n v="5.7606290780606189E-4"/>
  </r>
  <r>
    <d v="2023-03-30T00:00:00"/>
    <x v="2"/>
    <s v="Mumbai"/>
    <x v="2"/>
    <s v="Tablet"/>
    <n v="1"/>
    <n v="27832.15"/>
    <n v="21797.08"/>
    <x v="0"/>
    <n v="6035.07"/>
    <s v="March"/>
    <x v="9"/>
    <n v="0.2168380811399766"/>
    <n v="2.5773986695090033E-4"/>
  </r>
  <r>
    <d v="2023-04-15T00:00:00"/>
    <x v="0"/>
    <s v="Kolkata"/>
    <x v="3"/>
    <s v="Chair"/>
    <n v="1"/>
    <n v="26506.799999999999"/>
    <n v="20398.66"/>
    <x v="2"/>
    <n v="6108.14"/>
    <s v="April"/>
    <x v="11"/>
    <n v="0.23043671812516037"/>
    <n v="2.4546645175791754E-4"/>
  </r>
  <r>
    <d v="2023-01-14T00:00:00"/>
    <x v="0"/>
    <s v="Bhubaneswar"/>
    <x v="0"/>
    <s v="T-Shirt"/>
    <n v="6"/>
    <n v="117197.7"/>
    <n v="90471.88"/>
    <x v="0"/>
    <n v="26725.82"/>
    <s v="January"/>
    <x v="10"/>
    <n v="0.22804048202311139"/>
    <n v="1.0853103193591415E-3"/>
  </r>
  <r>
    <d v="2023-09-27T00:00:00"/>
    <x v="1"/>
    <s v="Bangalore"/>
    <x v="3"/>
    <s v="Table"/>
    <n v="1"/>
    <n v="28881.9"/>
    <n v="17933.82"/>
    <x v="0"/>
    <n v="10948.08"/>
    <s v="September"/>
    <x v="3"/>
    <n v="0.37906370425768388"/>
    <n v="2.6746108594877537E-4"/>
  </r>
  <r>
    <d v="2023-03-15T00:00:00"/>
    <x v="3"/>
    <s v="Jaipur"/>
    <x v="0"/>
    <s v="Jacket"/>
    <n v="3"/>
    <n v="83342.55"/>
    <n v="50886.74"/>
    <x v="0"/>
    <n v="32455.81"/>
    <s v="March"/>
    <x v="9"/>
    <n v="0.38942664941257499"/>
    <n v="7.7179440856522973E-4"/>
  </r>
  <r>
    <d v="2023-12-28T00:00:00"/>
    <x v="0"/>
    <s v="Bhubaneswar"/>
    <x v="2"/>
    <s v="Headphones"/>
    <n v="4"/>
    <n v="97518.8"/>
    <n v="77355.850000000006"/>
    <x v="4"/>
    <n v="20162.95"/>
    <s v="December"/>
    <x v="4"/>
    <n v="0.20675961968358922"/>
    <n v="9.0307369488923633E-4"/>
  </r>
  <r>
    <d v="2023-08-03T00:00:00"/>
    <x v="3"/>
    <s v="Delhi"/>
    <x v="1"/>
    <s v="Wallet"/>
    <n v="7"/>
    <n v="220274.6"/>
    <n v="161807.97"/>
    <x v="0"/>
    <n v="58466.63"/>
    <s v="August"/>
    <x v="8"/>
    <n v="0.26542610904752523"/>
    <n v="2.0398548476011661E-3"/>
  </r>
  <r>
    <d v="2023-03-29T00:00:00"/>
    <x v="2"/>
    <s v="Ahmedabad"/>
    <x v="2"/>
    <s v="Headphones"/>
    <n v="2"/>
    <n v="3425.4"/>
    <n v="1899.69"/>
    <x v="2"/>
    <n v="1525.71"/>
    <s v="March"/>
    <x v="9"/>
    <n v="0.44541075494832721"/>
    <n v="3.1720946468512642E-5"/>
  </r>
  <r>
    <d v="2023-02-21T00:00:00"/>
    <x v="0"/>
    <s v="Bhubaneswar"/>
    <x v="3"/>
    <s v="Sofa"/>
    <n v="2"/>
    <n v="73317.600000000006"/>
    <n v="41991.47"/>
    <x v="2"/>
    <n v="31326.13"/>
    <s v="February"/>
    <x v="2"/>
    <n v="0.42726616801422851"/>
    <n v="6.789582719681854E-4"/>
  </r>
  <r>
    <d v="2023-10-21T00:00:00"/>
    <x v="2"/>
    <s v="Mumbai"/>
    <x v="2"/>
    <s v="Tablet"/>
    <n v="4"/>
    <n v="156339.20000000001"/>
    <n v="87693.04"/>
    <x v="1"/>
    <n v="68646.16"/>
    <s v="October"/>
    <x v="1"/>
    <n v="0.43908475929261503"/>
    <n v="1.4477805202691924E-3"/>
  </r>
  <r>
    <d v="2023-02-23T00:00:00"/>
    <x v="0"/>
    <s v="Kolkata"/>
    <x v="3"/>
    <s v="Cupboard"/>
    <n v="4"/>
    <n v="60713.8"/>
    <n v="48512.81"/>
    <x v="4"/>
    <n v="12200.99"/>
    <s v="February"/>
    <x v="2"/>
    <n v="0.20095909002566137"/>
    <n v="5.6224067253458942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D86810-29F5-4289-A137-FD9B65F50633}" name="Region_averag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H13:I18" firstHeaderRow="1" firstDataRow="1" firstDataCol="1"/>
  <pivotFields count="16">
    <pivotField numFmtId="14" showAll="0"/>
    <pivotField axis="axisRow" showAll="0">
      <items count="5">
        <item x="0"/>
        <item x="3"/>
        <item x="1"/>
        <item x="2"/>
        <item t="default"/>
      </items>
    </pivotField>
    <pivotField showAll="0"/>
    <pivotField showAll="0">
      <items count="5">
        <item x="1"/>
        <item x="0"/>
        <item x="2"/>
        <item x="3"/>
        <item t="default"/>
      </items>
    </pivotField>
    <pivotField showAll="0"/>
    <pivotField numFmtId="1" showAll="0"/>
    <pivotField dataField="1" numFmtId="1" showAll="0"/>
    <pivotField numFmtId="1" showAll="0"/>
    <pivotField numFmtId="9" showAll="0">
      <items count="6">
        <item x="3"/>
        <item x="0"/>
        <item x="2"/>
        <item x="4"/>
        <item x="1"/>
        <item t="default"/>
      </items>
    </pivotField>
    <pivotField numFmtId="1" showAll="0"/>
    <pivotField showAll="0"/>
    <pivotField showAll="0"/>
    <pivotField numFmtId="10" showAll="0"/>
    <pivotField numFmtId="10" showAll="0"/>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s Amount" fld="6" baseField="1" baseItem="0" numFmtId="164"/>
  </dataFields>
  <formats count="2">
    <format dxfId="1">
      <pivotArea field="8" type="button" dataOnly="0" labelOnly="1" outline="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6D8B67-D37B-499D-8F61-759EC3ACE681}" name="KPI_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3" firstHeaderRow="0" firstDataRow="1" firstDataCol="0"/>
  <pivotFields count="16">
    <pivotField numFmtId="14" showAll="0"/>
    <pivotField showAll="0">
      <items count="5">
        <item x="0"/>
        <item x="3"/>
        <item x="1"/>
        <item x="2"/>
        <item t="default"/>
      </items>
    </pivotField>
    <pivotField showAll="0"/>
    <pivotField showAll="0">
      <items count="5">
        <item x="1"/>
        <item x="0"/>
        <item x="2"/>
        <item x="3"/>
        <item t="default"/>
      </items>
    </pivotField>
    <pivotField showAll="0"/>
    <pivotField numFmtId="1" showAll="0"/>
    <pivotField dataField="1" numFmtId="1" showAll="0"/>
    <pivotField dataField="1" numFmtId="1" showAll="0"/>
    <pivotField numFmtId="9" showAll="0"/>
    <pivotField dataField="1" numFmtId="1" showAll="0"/>
    <pivotField showAll="0"/>
    <pivotField showAll="0"/>
    <pivotField numFmtId="10" showAll="0"/>
    <pivotField numFmtId="10" showAll="0"/>
    <pivotField dataField="1" dragToRow="0" dragToCol="0" dragToPage="0" showAll="0" defaultSubtotal="0"/>
    <pivotField dataField="1" dragToRow="0" dragToCol="0" dragToPage="0" showAll="0" defaultSubtotal="0"/>
  </pivotFields>
  <rowItems count="1">
    <i/>
  </rowItems>
  <colFields count="1">
    <field x="-2"/>
  </colFields>
  <colItems count="5">
    <i>
      <x/>
    </i>
    <i i="1">
      <x v="1"/>
    </i>
    <i i="2">
      <x v="2"/>
    </i>
    <i i="3">
      <x v="3"/>
    </i>
    <i i="4">
      <x v="4"/>
    </i>
  </colItems>
  <dataFields count="5">
    <dataField name="Sum of Sales Amount" fld="6" baseField="0" baseItem="0" numFmtId="164"/>
    <dataField name="Sum of Cost" fld="7" baseField="0" baseItem="0" numFmtId="164"/>
    <dataField name="Sum of Profit" fld="9" baseField="0" baseItem="0" numFmtId="164"/>
    <dataField name="Sum of Profit_Margin_%" fld="14" baseField="0" baseItem="0" numFmtId="10"/>
    <dataField name="Sum of Quantity" fld="15" baseField="0" baseItem="0" numFmtId="1"/>
  </dataFields>
  <formats count="4">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1D0C9C-6740-467E-8C85-DBEAA9EC1F01}" name="Region-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Product_category">
  <location ref="A13:F19" firstHeaderRow="1" firstDataRow="2" firstDataCol="1"/>
  <pivotFields count="16">
    <pivotField numFmtId="14" showAll="0"/>
    <pivotField axis="axisRow" showAll="0">
      <items count="5">
        <item x="0"/>
        <item x="3"/>
        <item x="1"/>
        <item x="2"/>
        <item t="default"/>
      </items>
    </pivotField>
    <pivotField showAll="0"/>
    <pivotField axis="axisCol" showAll="0">
      <items count="5">
        <item x="1"/>
        <item x="0"/>
        <item x="2"/>
        <item x="3"/>
        <item t="default"/>
      </items>
    </pivotField>
    <pivotField showAll="0"/>
    <pivotField numFmtId="1" showAll="0"/>
    <pivotField dataField="1" numFmtId="1" showAll="0"/>
    <pivotField numFmtId="1" showAll="0"/>
    <pivotField numFmtId="9" showAll="0"/>
    <pivotField numFmtId="1" showAll="0"/>
    <pivotField showAll="0"/>
    <pivotField showAll="0"/>
    <pivotField numFmtId="10" showAll="0"/>
    <pivotField numFmtId="10"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3"/>
  </colFields>
  <colItems count="5">
    <i>
      <x/>
    </i>
    <i>
      <x v="1"/>
    </i>
    <i>
      <x v="2"/>
    </i>
    <i>
      <x v="3"/>
    </i>
    <i t="grand">
      <x/>
    </i>
  </colItems>
  <dataFields count="1">
    <dataField name="Sum of Sales Amount"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A36880-C840-4DAE-B8A1-B755FCB82C1D}" name="Discount-P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ount %">
  <location ref="G2:H8" firstHeaderRow="1" firstDataRow="1" firstDataCol="1"/>
  <pivotFields count="16">
    <pivotField numFmtId="14" showAll="0"/>
    <pivotField showAll="0">
      <items count="5">
        <item x="0"/>
        <item x="3"/>
        <item x="1"/>
        <item x="2"/>
        <item t="default"/>
      </items>
    </pivotField>
    <pivotField showAll="0"/>
    <pivotField showAll="0">
      <items count="5">
        <item x="1"/>
        <item x="0"/>
        <item x="2"/>
        <item x="3"/>
        <item t="default"/>
      </items>
    </pivotField>
    <pivotField showAll="0"/>
    <pivotField numFmtId="1" showAll="0"/>
    <pivotField numFmtId="1" showAll="0"/>
    <pivotField numFmtId="1" showAll="0"/>
    <pivotField axis="axisRow" numFmtId="9" showAll="0">
      <items count="6">
        <item x="3"/>
        <item x="0"/>
        <item x="2"/>
        <item x="4"/>
        <item x="1"/>
        <item t="default"/>
      </items>
    </pivotField>
    <pivotField numFmtId="1" showAll="0"/>
    <pivotField showAll="0"/>
    <pivotField showAll="0"/>
    <pivotField dataField="1" numFmtId="10" showAll="0"/>
    <pivotField numFmtId="10" showAll="0"/>
    <pivotField dragToRow="0" dragToCol="0" dragToPage="0" showAll="0" defaultSubtotal="0"/>
    <pivotField dragToRow="0" dragToCol="0" dragToPage="0" showAll="0" defaultSubtotal="0"/>
  </pivotFields>
  <rowFields count="1">
    <field x="8"/>
  </rowFields>
  <rowItems count="6">
    <i>
      <x/>
    </i>
    <i>
      <x v="1"/>
    </i>
    <i>
      <x v="2"/>
    </i>
    <i>
      <x v="3"/>
    </i>
    <i>
      <x v="4"/>
    </i>
    <i t="grand">
      <x/>
    </i>
  </rowItems>
  <colItems count="1">
    <i/>
  </colItems>
  <dataFields count="1">
    <dataField name="Average of Profit_margin %" fld="12" subtotal="average" baseField="8" baseItem="0"/>
  </dataFields>
  <formats count="1">
    <format dxfId="7">
      <pivotArea field="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04D44D-A11D-4B0A-BD07-770BBD85CD88}" name="Discoun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isount %">
  <location ref="M2:N8" firstHeaderRow="1" firstDataRow="1" firstDataCol="1"/>
  <pivotFields count="16">
    <pivotField numFmtId="14" showAll="0"/>
    <pivotField showAll="0">
      <items count="5">
        <item x="0"/>
        <item x="3"/>
        <item x="1"/>
        <item x="2"/>
        <item t="default"/>
      </items>
    </pivotField>
    <pivotField showAll="0"/>
    <pivotField showAll="0">
      <items count="5">
        <item x="1"/>
        <item x="0"/>
        <item x="2"/>
        <item x="3"/>
        <item t="default"/>
      </items>
    </pivotField>
    <pivotField showAll="0"/>
    <pivotField numFmtId="1" showAll="0"/>
    <pivotField dataField="1" numFmtId="1" showAll="0"/>
    <pivotField numFmtId="1" showAll="0"/>
    <pivotField axis="axisRow" numFmtId="9" showAll="0">
      <items count="6">
        <item x="3"/>
        <item x="0"/>
        <item x="2"/>
        <item x="4"/>
        <item x="1"/>
        <item t="default"/>
      </items>
    </pivotField>
    <pivotField numFmtId="1" showAll="0"/>
    <pivotField showAll="0"/>
    <pivotField showAll="0"/>
    <pivotField numFmtId="10" showAll="0"/>
    <pivotField numFmtId="10" showAll="0"/>
    <pivotField dragToRow="0" dragToCol="0" dragToPage="0" showAll="0" defaultSubtotal="0"/>
    <pivotField dragToRow="0" dragToCol="0" dragToPage="0" showAll="0" defaultSubtotal="0"/>
  </pivotFields>
  <rowFields count="1">
    <field x="8"/>
  </rowFields>
  <rowItems count="6">
    <i>
      <x/>
    </i>
    <i>
      <x v="1"/>
    </i>
    <i>
      <x v="2"/>
    </i>
    <i>
      <x v="3"/>
    </i>
    <i>
      <x v="4"/>
    </i>
    <i t="grand">
      <x/>
    </i>
  </rowItems>
  <colItems count="1">
    <i/>
  </colItems>
  <dataFields count="1">
    <dataField name="Sum of Sales Amount" fld="6" baseField="0" baseItem="0" numFmtId="164"/>
  </dataFields>
  <formats count="2">
    <format dxfId="9">
      <pivotArea field="8" type="button" dataOnly="0" labelOnly="1" outline="0" axis="axisRow" fieldPosition="0"/>
    </format>
    <format dxfId="8">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628190-7DAC-42F2-9AEE-A12DD54DE80B}" name="Seasonal_patter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_number">
  <location ref="J2:K15" firstHeaderRow="1" firstDataRow="1" firstDataCol="1"/>
  <pivotFields count="16">
    <pivotField numFmtId="14" showAll="0"/>
    <pivotField showAll="0">
      <items count="5">
        <item x="0"/>
        <item x="3"/>
        <item x="1"/>
        <item x="2"/>
        <item t="default"/>
      </items>
    </pivotField>
    <pivotField showAll="0"/>
    <pivotField showAll="0">
      <items count="5">
        <item x="1"/>
        <item x="0"/>
        <item x="2"/>
        <item x="3"/>
        <item t="default"/>
      </items>
    </pivotField>
    <pivotField showAll="0"/>
    <pivotField numFmtId="1" showAll="0"/>
    <pivotField dataField="1" numFmtId="1" showAll="0"/>
    <pivotField numFmtId="1" showAll="0"/>
    <pivotField numFmtId="9" showAll="0">
      <items count="6">
        <item x="3"/>
        <item x="0"/>
        <item x="2"/>
        <item x="4"/>
        <item x="1"/>
        <item t="default"/>
      </items>
    </pivotField>
    <pivotField numFmtId="1" showAll="0"/>
    <pivotField showAll="0"/>
    <pivotField axis="axisRow" showAll="0">
      <items count="13">
        <item x="10"/>
        <item x="2"/>
        <item x="9"/>
        <item x="11"/>
        <item x="6"/>
        <item x="7"/>
        <item x="5"/>
        <item x="8"/>
        <item x="3"/>
        <item x="1"/>
        <item x="0"/>
        <item x="4"/>
        <item t="default"/>
      </items>
    </pivotField>
    <pivotField numFmtId="10" showAll="0"/>
    <pivotField numFmtId="10" showAll="0"/>
    <pivotField dragToRow="0" dragToCol="0" dragToPage="0" showAll="0" defaultSubtotal="0"/>
    <pivotField dragToRow="0" dragToCol="0" dragToPage="0" showAll="0" defaultSubtotal="0"/>
  </pivotFields>
  <rowFields count="1">
    <field x="11"/>
  </rowFields>
  <rowItems count="13">
    <i>
      <x/>
    </i>
    <i>
      <x v="1"/>
    </i>
    <i>
      <x v="2"/>
    </i>
    <i>
      <x v="3"/>
    </i>
    <i>
      <x v="4"/>
    </i>
    <i>
      <x v="5"/>
    </i>
    <i>
      <x v="6"/>
    </i>
    <i>
      <x v="7"/>
    </i>
    <i>
      <x v="8"/>
    </i>
    <i>
      <x v="9"/>
    </i>
    <i>
      <x v="10"/>
    </i>
    <i>
      <x v="11"/>
    </i>
    <i t="grand">
      <x/>
    </i>
  </rowItems>
  <colItems count="1">
    <i/>
  </colItems>
  <dataFields count="1">
    <dataField name="Sum of Sales Amount" fld="6" baseField="11" baseItem="0"/>
  </dataFields>
  <formats count="3">
    <format dxfId="12">
      <pivotArea field="8" type="button" dataOnly="0" labelOnly="1" outline="0"/>
    </format>
    <format dxfId="11">
      <pivotArea outline="0" collapsedLevelsAreSubtotals="1" fieldPosition="0"/>
    </format>
    <format dxfId="10">
      <pivotArea collapsedLevelsAreSubtotals="1" fieldPosition="0">
        <references count="1">
          <reference field="11" count="3">
            <x v="5"/>
            <x v="6"/>
            <x v="7"/>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62786A-095C-4544-A9CC-FBF2ADBDE935}" name="No. of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32:A33" firstHeaderRow="1" firstDataRow="1" firstDataCol="0"/>
  <pivotFields count="16">
    <pivotField dataField="1" numFmtId="14" showAll="0"/>
    <pivotField showAll="0">
      <items count="5">
        <item x="0"/>
        <item x="3"/>
        <item x="1"/>
        <item x="2"/>
        <item t="default"/>
      </items>
    </pivotField>
    <pivotField showAll="0"/>
    <pivotField showAll="0">
      <items count="5">
        <item x="1"/>
        <item x="0"/>
        <item x="2"/>
        <item x="3"/>
        <item t="default"/>
      </items>
    </pivotField>
    <pivotField showAll="0"/>
    <pivotField numFmtId="1" showAll="0"/>
    <pivotField numFmtId="1" showAll="0"/>
    <pivotField numFmtId="1" showAll="0"/>
    <pivotField numFmtId="9" showAll="0"/>
    <pivotField numFmtId="1" showAll="0"/>
    <pivotField showAll="0"/>
    <pivotField showAll="0"/>
    <pivotField numFmtId="10" showAll="0"/>
    <pivotField numFmtId="10" showAll="0"/>
    <pivotField dragToRow="0" dragToCol="0" dragToPage="0" showAll="0" defaultSubtotal="0"/>
    <pivotField dragToRow="0" dragToCol="0" dragToPage="0" showAll="0" defaultSubtotal="0"/>
  </pivotFields>
  <rowItems count="1">
    <i/>
  </rowItems>
  <colItems count="1">
    <i/>
  </colItems>
  <dataFields count="1">
    <dataField name="Count of Order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4167CA-0E4A-4A80-99EF-128D8005B67C}" name="Category_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_category">
  <location ref="D5:E10" firstHeaderRow="1" firstDataRow="1" firstDataCol="1"/>
  <pivotFields count="16">
    <pivotField numFmtId="14" showAll="0"/>
    <pivotField showAll="0">
      <items count="5">
        <item x="0"/>
        <item x="3"/>
        <item x="1"/>
        <item x="2"/>
        <item t="default"/>
      </items>
    </pivotField>
    <pivotField showAll="0"/>
    <pivotField axis="axisRow" showAll="0">
      <items count="5">
        <item x="1"/>
        <item x="0"/>
        <item x="2"/>
        <item x="3"/>
        <item t="default"/>
      </items>
    </pivotField>
    <pivotField showAll="0"/>
    <pivotField numFmtId="1" showAll="0"/>
    <pivotField dataField="1" numFmtId="1" showAll="0"/>
    <pivotField numFmtId="1" showAll="0"/>
    <pivotField numFmtId="9" showAll="0"/>
    <pivotField numFmtId="1" showAll="0"/>
    <pivotField showAll="0"/>
    <pivotField showAll="0"/>
    <pivotField numFmtId="10" showAll="0"/>
    <pivotField numFmtId="10" showAll="0"/>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Sum of Sales Amount" fld="6" baseField="0" baseItem="0" numFmtId="164"/>
  </dataFields>
  <formats count="1">
    <format dxfId="13">
      <pivotArea outline="0" collapsedLevelsAreSubtotals="1" fieldPosition="0">
        <references count="1">
          <reference field="4294967294" count="1" selected="0">
            <x v="0"/>
          </reference>
        </references>
      </pivotArea>
    </format>
  </formats>
  <conditionalFormats count="1">
    <conditionalFormat type="all" priority="7">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355C7F-5180-468E-9407-95B6F3CACE5A}" name="KPI_region_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5:B10" firstHeaderRow="1" firstDataRow="1" firstDataCol="1"/>
  <pivotFields count="16">
    <pivotField numFmtId="14" showAll="0"/>
    <pivotField axis="axisRow" showAll="0">
      <items count="5">
        <item x="0"/>
        <item x="3"/>
        <item x="1"/>
        <item x="2"/>
        <item t="default"/>
      </items>
    </pivotField>
    <pivotField showAll="0"/>
    <pivotField showAll="0">
      <items count="5">
        <item x="1"/>
        <item x="0"/>
        <item x="2"/>
        <item x="3"/>
        <item t="default"/>
      </items>
    </pivotField>
    <pivotField showAll="0"/>
    <pivotField numFmtId="1" showAll="0"/>
    <pivotField dataField="1" numFmtId="1" showAll="0"/>
    <pivotField numFmtId="1" showAll="0"/>
    <pivotField numFmtId="9" showAll="0"/>
    <pivotField numFmtId="1" showAll="0"/>
    <pivotField showAll="0"/>
    <pivotField showAll="0"/>
    <pivotField numFmtId="10" showAll="0"/>
    <pivotField numFmtId="10" showAll="0"/>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s Amount" fld="6" baseField="0" baseItem="0" numFmtId="164"/>
  </dataFields>
  <formats count="1">
    <format dxfId="14">
      <pivotArea outline="0" collapsedLevelsAreSubtotals="1" fieldPosition="0">
        <references count="1">
          <reference field="4294967294" count="1" selected="0">
            <x v="0"/>
          </reference>
        </references>
      </pivotArea>
    </format>
  </formats>
  <conditionalFormats count="1">
    <conditionalFormat type="all" priority="10">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CE6BCB-B5EB-4D1D-88B8-18EF16A9FC32}" sourceName="Region">
  <pivotTables>
    <pivotTable tabId="3" name="KPI_pivot"/>
    <pivotTable tabId="3" name="Category_performance"/>
    <pivotTable tabId="3" name="Discount-Pmargin%"/>
    <pivotTable tabId="3" name="KPI_region_pivot"/>
    <pivotTable tabId="3" name="Region-category"/>
    <pivotTable tabId="3" name="Seasonal_pattern"/>
    <pivotTable tabId="3" name="Region_average sales"/>
    <pivotTable tabId="3" name="Discount-sales"/>
    <pivotTable tabId="3" name="No. of orders"/>
  </pivotTables>
  <data>
    <tabular pivotCacheId="1172073068">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101E4A2-B045-4263-9658-7A60C7698280}" sourceName="Product Category">
  <pivotTables>
    <pivotTable tabId="3" name="KPI_pivot"/>
    <pivotTable tabId="3" name="Category_performance"/>
    <pivotTable tabId="3" name="Discount-Pmargin%"/>
    <pivotTable tabId="3" name="KPI_region_pivot"/>
    <pivotTable tabId="3" name="Region-category"/>
    <pivotTable tabId="3" name="Seasonal_pattern"/>
    <pivotTable tabId="3" name="Region_average sales"/>
    <pivotTable tabId="3" name="Discount-sales"/>
    <pivotTable tabId="3" name="No. of orders"/>
  </pivotTables>
  <data>
    <tabular pivotCacheId="1172073068">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1F623F-0B55-4621-8953-90E00CCB12D3}" cache="Slicer_Region" caption="Region" rowHeight="241300"/>
  <slicer name="Product Category" xr10:uid="{B50C9991-DF42-43BD-8AB2-1527E3124DC5}"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C6DFC8-50F7-4FF2-AF8B-DFB9A6E5869D}" name="Table1" displayName="Table1" ref="A1:N1201" totalsRowShown="0">
  <autoFilter ref="A1:N1201" xr:uid="{B2C6DFC8-50F7-4FF2-AF8B-DFB9A6E5869D}"/>
  <tableColumns count="14">
    <tableColumn id="1" xr3:uid="{9974C6A7-7076-41F5-895C-93A94129DDA3}" name="Order Date" dataDxfId="25"/>
    <tableColumn id="2" xr3:uid="{FE2943ED-8DD5-49B9-854A-569D96E21781}" name="Region"/>
    <tableColumn id="3" xr3:uid="{53A80875-0BE7-46F1-BDF8-389A100EA8E1}" name="City"/>
    <tableColumn id="4" xr3:uid="{8F00E89B-7D0F-4C19-8AED-0DD7A42395AC}" name="Product Category"/>
    <tableColumn id="5" xr3:uid="{0C2B4609-733B-4C4F-AF2A-A291CED7B128}" name="Product Name"/>
    <tableColumn id="6" xr3:uid="{8CD21367-25B1-4FBC-A9EB-A68E3B6C25F8}" name="Quantity Sold" dataDxfId="24"/>
    <tableColumn id="7" xr3:uid="{D8FB6B1F-0667-4316-B535-580A90F01573}" name="Sales Amount" dataDxfId="23"/>
    <tableColumn id="8" xr3:uid="{E3ACC92E-A4B5-41D4-917C-6D16B873E707}" name="Cost" dataDxfId="22"/>
    <tableColumn id="9" xr3:uid="{E4D1CE02-419C-4CB5-B858-9732A4220721}" name="Discount %" dataDxfId="21" dataCellStyle="Percent"/>
    <tableColumn id="10" xr3:uid="{D8FAF1AC-F0E2-491B-B1C6-BA4934BCFD18}" name="Profit" dataDxfId="20"/>
    <tableColumn id="11" xr3:uid="{D24676EE-3271-4F2F-82EF-D003D47E1681}" name="Month_name" dataDxfId="19">
      <calculatedColumnFormula>TEXT(A2,"mmmm")</calculatedColumnFormula>
    </tableColumn>
    <tableColumn id="12" xr3:uid="{0255C6ED-B750-4076-AD61-62F346F5FBDC}" name="Month_Number">
      <calculatedColumnFormula>MONTH(A2)</calculatedColumnFormula>
    </tableColumn>
    <tableColumn id="13" xr3:uid="{DFA4C22F-BADC-46EF-A25E-EEAB5AB15193}" name="Profit_margin %" dataDxfId="18" dataCellStyle="Percent">
      <calculatedColumnFormula>J2/G2</calculatedColumnFormula>
    </tableColumn>
    <tableColumn id="14" xr3:uid="{A8A51D66-2A6F-498C-8BAC-0C825ECE5B89}" name="Sales_contribution %" dataDxfId="17" dataCellStyle="Percent">
      <calculatedColumnFormula>G2/SUM(G:G)</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5DCF3-D358-4058-A4C4-4F75B49FC197}">
  <dimension ref="A1:C24"/>
  <sheetViews>
    <sheetView workbookViewId="0">
      <selection activeCell="A2" sqref="A2"/>
    </sheetView>
  </sheetViews>
  <sheetFormatPr defaultRowHeight="14.5" x14ac:dyDescent="0.35"/>
  <cols>
    <col min="2" max="2" width="17.7265625" customWidth="1"/>
  </cols>
  <sheetData>
    <row r="1" spans="1:3" x14ac:dyDescent="0.35">
      <c r="A1" s="2" t="s">
        <v>45</v>
      </c>
    </row>
    <row r="2" spans="1:3" x14ac:dyDescent="0.35">
      <c r="A2" t="s">
        <v>54</v>
      </c>
    </row>
    <row r="4" spans="1:3" x14ac:dyDescent="0.35">
      <c r="A4" s="2" t="s">
        <v>46</v>
      </c>
    </row>
    <row r="5" spans="1:3" x14ac:dyDescent="0.35">
      <c r="A5" t="s">
        <v>55</v>
      </c>
    </row>
    <row r="6" spans="1:3" x14ac:dyDescent="0.35">
      <c r="A6" t="s">
        <v>56</v>
      </c>
    </row>
    <row r="7" spans="1:3" x14ac:dyDescent="0.35">
      <c r="A7" t="s">
        <v>57</v>
      </c>
    </row>
    <row r="8" spans="1:3" x14ac:dyDescent="0.35">
      <c r="A8" t="s">
        <v>58</v>
      </c>
    </row>
    <row r="9" spans="1:3" x14ac:dyDescent="0.35">
      <c r="A9" t="s">
        <v>59</v>
      </c>
    </row>
    <row r="11" spans="1:3" x14ac:dyDescent="0.35">
      <c r="A11" s="26" t="s">
        <v>47</v>
      </c>
      <c r="B11" s="26"/>
    </row>
    <row r="12" spans="1:3" x14ac:dyDescent="0.35">
      <c r="A12" s="27" t="s">
        <v>48</v>
      </c>
      <c r="B12" s="27"/>
      <c r="C12" t="s">
        <v>53</v>
      </c>
    </row>
    <row r="13" spans="1:3" x14ac:dyDescent="0.35">
      <c r="A13" s="27" t="s">
        <v>49</v>
      </c>
      <c r="B13" s="27"/>
      <c r="C13" t="s">
        <v>60</v>
      </c>
    </row>
    <row r="14" spans="1:3" x14ac:dyDescent="0.35">
      <c r="A14" s="27" t="s">
        <v>50</v>
      </c>
      <c r="B14" s="27"/>
      <c r="C14" t="s">
        <v>61</v>
      </c>
    </row>
    <row r="15" spans="1:3" x14ac:dyDescent="0.35">
      <c r="A15" s="27" t="s">
        <v>51</v>
      </c>
      <c r="B15" s="27"/>
      <c r="C15" t="s">
        <v>63</v>
      </c>
    </row>
    <row r="16" spans="1:3" x14ac:dyDescent="0.35">
      <c r="A16" s="27" t="s">
        <v>52</v>
      </c>
      <c r="B16" s="27"/>
      <c r="C16" t="s">
        <v>62</v>
      </c>
    </row>
    <row r="17" spans="1:3" x14ac:dyDescent="0.35">
      <c r="A17" s="27" t="s">
        <v>64</v>
      </c>
      <c r="B17" s="27"/>
      <c r="C17" t="s">
        <v>65</v>
      </c>
    </row>
    <row r="19" spans="1:3" x14ac:dyDescent="0.35">
      <c r="A19" s="2" t="s">
        <v>70</v>
      </c>
    </row>
    <row r="20" spans="1:3" x14ac:dyDescent="0.35">
      <c r="A20" t="s">
        <v>73</v>
      </c>
    </row>
    <row r="21" spans="1:3" x14ac:dyDescent="0.35">
      <c r="A21" t="s">
        <v>74</v>
      </c>
    </row>
    <row r="22" spans="1:3" x14ac:dyDescent="0.35">
      <c r="A22" t="s">
        <v>72</v>
      </c>
    </row>
    <row r="23" spans="1:3" x14ac:dyDescent="0.35">
      <c r="A23" t="s">
        <v>75</v>
      </c>
    </row>
    <row r="24" spans="1:3" x14ac:dyDescent="0.35">
      <c r="A24" t="s">
        <v>76</v>
      </c>
    </row>
  </sheetData>
  <mergeCells count="7">
    <mergeCell ref="A11:B11"/>
    <mergeCell ref="A17:B17"/>
    <mergeCell ref="A16:B16"/>
    <mergeCell ref="A15:B15"/>
    <mergeCell ref="A14:B14"/>
    <mergeCell ref="A13:B13"/>
    <mergeCell ref="A12: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1"/>
  <sheetViews>
    <sheetView topLeftCell="G1" zoomScaleNormal="100" workbookViewId="0">
      <selection activeCell="Q3" sqref="Q3"/>
    </sheetView>
  </sheetViews>
  <sheetFormatPr defaultRowHeight="14.5" x14ac:dyDescent="0.35"/>
  <cols>
    <col min="1" max="1" width="12.1796875" style="6" customWidth="1"/>
    <col min="2" max="2" width="8.453125" customWidth="1"/>
    <col min="3" max="3" width="12.26953125" bestFit="1" customWidth="1"/>
    <col min="4" max="4" width="17.36328125" customWidth="1"/>
    <col min="5" max="5" width="14.81640625" customWidth="1"/>
    <col min="6" max="6" width="14.1796875" style="4" customWidth="1"/>
    <col min="7" max="7" width="14.26953125" style="4" customWidth="1"/>
    <col min="8" max="8" width="12.6328125" style="4" bestFit="1" customWidth="1"/>
    <col min="9" max="9" width="12.08984375" style="8" customWidth="1"/>
    <col min="10" max="10" width="7.54296875" style="4" customWidth="1"/>
    <col min="11" max="11" width="14.26953125" style="4" customWidth="1"/>
    <col min="12" max="12" width="16.36328125" customWidth="1"/>
    <col min="13" max="13" width="16.26953125" customWidth="1"/>
    <col min="14" max="14" width="20.36328125" customWidth="1"/>
  </cols>
  <sheetData>
    <row r="1" spans="1:17" x14ac:dyDescent="0.35">
      <c r="A1" s="5" t="s">
        <v>0</v>
      </c>
      <c r="B1" s="1" t="s">
        <v>1</v>
      </c>
      <c r="C1" s="1" t="s">
        <v>2</v>
      </c>
      <c r="D1" s="1" t="s">
        <v>3</v>
      </c>
      <c r="E1" s="1" t="s">
        <v>4</v>
      </c>
      <c r="F1" s="3" t="s">
        <v>5</v>
      </c>
      <c r="G1" s="3" t="s">
        <v>6</v>
      </c>
      <c r="H1" s="3" t="s">
        <v>7</v>
      </c>
      <c r="I1" s="7" t="s">
        <v>67</v>
      </c>
      <c r="J1" s="3" t="s">
        <v>8</v>
      </c>
      <c r="K1" s="3" t="s">
        <v>68</v>
      </c>
      <c r="L1" s="10" t="s">
        <v>69</v>
      </c>
      <c r="M1" s="10" t="s">
        <v>66</v>
      </c>
      <c r="N1" s="11" t="s">
        <v>71</v>
      </c>
    </row>
    <row r="2" spans="1:17" x14ac:dyDescent="0.35">
      <c r="A2" s="6">
        <v>45257</v>
      </c>
      <c r="B2" t="s">
        <v>9</v>
      </c>
      <c r="C2" t="s">
        <v>13</v>
      </c>
      <c r="D2" t="s">
        <v>25</v>
      </c>
      <c r="E2" t="s">
        <v>29</v>
      </c>
      <c r="F2" s="4">
        <v>5</v>
      </c>
      <c r="G2" s="4">
        <v>55974</v>
      </c>
      <c r="H2" s="4">
        <v>32968.61</v>
      </c>
      <c r="I2" s="8">
        <v>0.05</v>
      </c>
      <c r="J2" s="4">
        <v>23005.39</v>
      </c>
      <c r="K2" s="4" t="str">
        <f>TEXT(A2,"mmmm")</f>
        <v>November</v>
      </c>
      <c r="L2">
        <f>MONTH(A2)</f>
        <v>11</v>
      </c>
      <c r="M2" s="9">
        <f>J2/G2</f>
        <v>0.41100135777325186</v>
      </c>
      <c r="N2" s="9">
        <f>G2/SUM(G:G)</f>
        <v>5.1834771344325516E-4</v>
      </c>
      <c r="P2" s="8"/>
    </row>
    <row r="3" spans="1:17" x14ac:dyDescent="0.35">
      <c r="A3" s="6">
        <v>45220</v>
      </c>
      <c r="B3" t="s">
        <v>9</v>
      </c>
      <c r="C3" t="s">
        <v>13</v>
      </c>
      <c r="D3" t="s">
        <v>26</v>
      </c>
      <c r="E3" t="s">
        <v>30</v>
      </c>
      <c r="F3" s="4">
        <v>3</v>
      </c>
      <c r="G3" s="4">
        <v>5244</v>
      </c>
      <c r="H3" s="4">
        <v>4155.75</v>
      </c>
      <c r="I3" s="8">
        <v>0.2</v>
      </c>
      <c r="J3" s="4">
        <v>1088.25</v>
      </c>
      <c r="K3" s="4" t="str">
        <f t="shared" ref="K3:K66" si="0">TEXT(A3,"mmmm")</f>
        <v>October</v>
      </c>
      <c r="L3">
        <f t="shared" ref="L3:L66" si="1">MONTH(A3)</f>
        <v>10</v>
      </c>
      <c r="M3" s="9">
        <f t="shared" ref="M3:M66" si="2">J3/G3</f>
        <v>0.2075228832951945</v>
      </c>
      <c r="N3" s="9">
        <f t="shared" ref="N3:N66" si="3">G3/SUM(G:G)</f>
        <v>4.8562107573095194E-5</v>
      </c>
      <c r="Q3" s="4"/>
    </row>
    <row r="4" spans="1:17" x14ac:dyDescent="0.35">
      <c r="A4" s="6">
        <v>44975</v>
      </c>
      <c r="B4" t="s">
        <v>10</v>
      </c>
      <c r="C4" t="s">
        <v>14</v>
      </c>
      <c r="D4" t="s">
        <v>27</v>
      </c>
      <c r="E4" t="s">
        <v>31</v>
      </c>
      <c r="F4" s="4">
        <v>2</v>
      </c>
      <c r="G4" s="4">
        <v>46708.800000000003</v>
      </c>
      <c r="H4" s="4">
        <v>30733.75</v>
      </c>
      <c r="I4" s="8">
        <v>0.2</v>
      </c>
      <c r="J4" s="4">
        <v>15975.05</v>
      </c>
      <c r="K4" s="4" t="str">
        <f t="shared" si="0"/>
        <v>February</v>
      </c>
      <c r="L4">
        <f t="shared" si="1"/>
        <v>2</v>
      </c>
      <c r="M4" s="9">
        <f t="shared" si="2"/>
        <v>0.34201371047853935</v>
      </c>
      <c r="N4" s="9">
        <f t="shared" si="3"/>
        <v>4.3254724832383462E-4</v>
      </c>
    </row>
    <row r="5" spans="1:17" x14ac:dyDescent="0.35">
      <c r="A5" s="6">
        <v>45170</v>
      </c>
      <c r="B5" t="s">
        <v>9</v>
      </c>
      <c r="C5" t="s">
        <v>15</v>
      </c>
      <c r="D5" t="s">
        <v>25</v>
      </c>
      <c r="E5" t="s">
        <v>32</v>
      </c>
      <c r="F5" s="4">
        <v>4</v>
      </c>
      <c r="G5" s="4">
        <v>11689.2</v>
      </c>
      <c r="H5" s="4">
        <v>7546.73</v>
      </c>
      <c r="I5" s="8">
        <v>0.1</v>
      </c>
      <c r="J5" s="4">
        <v>4142.47</v>
      </c>
      <c r="K5" s="4" t="str">
        <f t="shared" si="0"/>
        <v>September</v>
      </c>
      <c r="L5">
        <f t="shared" si="1"/>
        <v>9</v>
      </c>
      <c r="M5" s="9">
        <f t="shared" si="2"/>
        <v>0.35438438900865754</v>
      </c>
      <c r="N5" s="9">
        <f t="shared" si="3"/>
        <v>1.0824793818524491E-4</v>
      </c>
    </row>
    <row r="6" spans="1:17" x14ac:dyDescent="0.35">
      <c r="A6" s="6">
        <v>45200</v>
      </c>
      <c r="B6" t="s">
        <v>11</v>
      </c>
      <c r="C6" t="s">
        <v>16</v>
      </c>
      <c r="D6" t="s">
        <v>25</v>
      </c>
      <c r="E6" t="s">
        <v>33</v>
      </c>
      <c r="F6" s="4">
        <v>3</v>
      </c>
      <c r="G6" s="4">
        <v>101054.39999999999</v>
      </c>
      <c r="H6" s="4">
        <v>66961.149999999994</v>
      </c>
      <c r="I6" s="8">
        <v>0.2</v>
      </c>
      <c r="J6" s="4">
        <v>34093.25</v>
      </c>
      <c r="K6" s="4" t="str">
        <f t="shared" si="0"/>
        <v>October</v>
      </c>
      <c r="L6">
        <f t="shared" si="1"/>
        <v>10</v>
      </c>
      <c r="M6" s="9">
        <f t="shared" si="2"/>
        <v>0.33737521572539148</v>
      </c>
      <c r="N6" s="9">
        <f t="shared" si="3"/>
        <v>9.3581514941544442E-4</v>
      </c>
    </row>
    <row r="7" spans="1:17" x14ac:dyDescent="0.35">
      <c r="A7" s="6">
        <v>45266</v>
      </c>
      <c r="B7" t="s">
        <v>11</v>
      </c>
      <c r="C7" t="s">
        <v>16</v>
      </c>
      <c r="D7" t="s">
        <v>26</v>
      </c>
      <c r="E7" t="s">
        <v>34</v>
      </c>
      <c r="F7" s="4">
        <v>2</v>
      </c>
      <c r="G7" s="4">
        <v>87002</v>
      </c>
      <c r="H7" s="4">
        <v>48198.37</v>
      </c>
      <c r="I7" s="8">
        <v>0</v>
      </c>
      <c r="J7" s="4">
        <v>38803.629999999997</v>
      </c>
      <c r="K7" s="4" t="str">
        <f t="shared" si="0"/>
        <v>December</v>
      </c>
      <c r="L7">
        <f t="shared" si="1"/>
        <v>12</v>
      </c>
      <c r="M7" s="9">
        <f t="shared" si="2"/>
        <v>0.44600848256361919</v>
      </c>
      <c r="N7" s="9">
        <f t="shared" si="3"/>
        <v>8.056827770927589E-4</v>
      </c>
    </row>
    <row r="8" spans="1:17" x14ac:dyDescent="0.35">
      <c r="A8" s="6">
        <v>44976</v>
      </c>
      <c r="B8" t="s">
        <v>11</v>
      </c>
      <c r="C8" t="s">
        <v>17</v>
      </c>
      <c r="D8" t="s">
        <v>26</v>
      </c>
      <c r="E8" t="s">
        <v>35</v>
      </c>
      <c r="F8" s="4">
        <v>4</v>
      </c>
      <c r="G8" s="4">
        <v>63572.4</v>
      </c>
      <c r="H8" s="4">
        <v>49416.74</v>
      </c>
      <c r="I8" s="8">
        <v>0.1</v>
      </c>
      <c r="J8" s="4">
        <v>14155.66</v>
      </c>
      <c r="K8" s="4" t="str">
        <f t="shared" si="0"/>
        <v>February</v>
      </c>
      <c r="L8">
        <f t="shared" si="1"/>
        <v>2</v>
      </c>
      <c r="M8" s="9">
        <f t="shared" si="2"/>
        <v>0.22266990077454996</v>
      </c>
      <c r="N8" s="9">
        <f t="shared" si="3"/>
        <v>5.8871276267731445E-4</v>
      </c>
    </row>
    <row r="9" spans="1:17" x14ac:dyDescent="0.35">
      <c r="A9" s="6">
        <v>45117</v>
      </c>
      <c r="B9" t="s">
        <v>11</v>
      </c>
      <c r="C9" t="s">
        <v>18</v>
      </c>
      <c r="D9" t="s">
        <v>28</v>
      </c>
      <c r="E9" t="s">
        <v>36</v>
      </c>
      <c r="F9" s="4">
        <v>6</v>
      </c>
      <c r="G9" s="4">
        <v>70976.7</v>
      </c>
      <c r="H9" s="4">
        <v>42317.27</v>
      </c>
      <c r="I9" s="8">
        <v>0.15</v>
      </c>
      <c r="J9" s="4">
        <v>28659.43</v>
      </c>
      <c r="K9" s="4" t="str">
        <f t="shared" si="0"/>
        <v>July</v>
      </c>
      <c r="L9">
        <f t="shared" si="1"/>
        <v>7</v>
      </c>
      <c r="M9" s="9">
        <f t="shared" si="2"/>
        <v>0.40378645386443723</v>
      </c>
      <c r="N9" s="9">
        <f t="shared" si="3"/>
        <v>6.5728034717454334E-4</v>
      </c>
    </row>
    <row r="10" spans="1:17" x14ac:dyDescent="0.35">
      <c r="A10" s="6">
        <v>45230</v>
      </c>
      <c r="B10" t="s">
        <v>10</v>
      </c>
      <c r="C10" t="s">
        <v>19</v>
      </c>
      <c r="D10" t="s">
        <v>26</v>
      </c>
      <c r="E10" t="s">
        <v>34</v>
      </c>
      <c r="F10" s="4">
        <v>2</v>
      </c>
      <c r="G10" s="4">
        <v>45996.9</v>
      </c>
      <c r="H10" s="4">
        <v>32173.68</v>
      </c>
      <c r="I10" s="8">
        <v>0.15</v>
      </c>
      <c r="J10" s="4">
        <v>13823.22</v>
      </c>
      <c r="K10" s="4" t="str">
        <f t="shared" si="0"/>
        <v>October</v>
      </c>
      <c r="L10">
        <f t="shared" si="1"/>
        <v>10</v>
      </c>
      <c r="M10" s="9">
        <f t="shared" si="2"/>
        <v>0.30052503538281927</v>
      </c>
      <c r="N10" s="9">
        <f t="shared" si="3"/>
        <v>4.2595469218705229E-4</v>
      </c>
    </row>
    <row r="11" spans="1:17" x14ac:dyDescent="0.35">
      <c r="A11" s="6">
        <v>45264</v>
      </c>
      <c r="B11" t="s">
        <v>9</v>
      </c>
      <c r="C11" t="s">
        <v>20</v>
      </c>
      <c r="D11" t="s">
        <v>25</v>
      </c>
      <c r="E11" t="s">
        <v>37</v>
      </c>
      <c r="F11" s="4">
        <v>1</v>
      </c>
      <c r="G11" s="4">
        <v>19802.400000000001</v>
      </c>
      <c r="H11" s="4">
        <v>12815.51</v>
      </c>
      <c r="I11" s="8">
        <v>0.2</v>
      </c>
      <c r="J11" s="4">
        <v>6986.89</v>
      </c>
      <c r="K11" s="4" t="str">
        <f t="shared" si="0"/>
        <v>December</v>
      </c>
      <c r="L11">
        <f t="shared" si="1"/>
        <v>12</v>
      </c>
      <c r="M11" s="9">
        <f t="shared" si="2"/>
        <v>0.35283046499414211</v>
      </c>
      <c r="N11" s="9">
        <f t="shared" si="3"/>
        <v>1.8338029729318464E-4</v>
      </c>
    </row>
    <row r="12" spans="1:17" x14ac:dyDescent="0.35">
      <c r="A12" s="6">
        <v>44967</v>
      </c>
      <c r="B12" t="s">
        <v>9</v>
      </c>
      <c r="C12" t="s">
        <v>13</v>
      </c>
      <c r="D12" t="s">
        <v>26</v>
      </c>
      <c r="E12" t="s">
        <v>34</v>
      </c>
      <c r="F12" s="4">
        <v>1</v>
      </c>
      <c r="G12" s="4">
        <v>18481.55</v>
      </c>
      <c r="H12" s="4">
        <v>12672.32</v>
      </c>
      <c r="I12" s="8">
        <v>0.15</v>
      </c>
      <c r="J12" s="4">
        <v>5809.23</v>
      </c>
      <c r="K12" s="4" t="str">
        <f t="shared" si="0"/>
        <v>February</v>
      </c>
      <c r="L12">
        <f t="shared" si="1"/>
        <v>2</v>
      </c>
      <c r="M12" s="9">
        <f t="shared" si="2"/>
        <v>0.31432590881176092</v>
      </c>
      <c r="N12" s="9">
        <f t="shared" si="3"/>
        <v>1.7114855438930918E-4</v>
      </c>
    </row>
    <row r="13" spans="1:17" x14ac:dyDescent="0.35">
      <c r="A13" s="6">
        <v>45062</v>
      </c>
      <c r="B13" t="s">
        <v>12</v>
      </c>
      <c r="C13" t="s">
        <v>21</v>
      </c>
      <c r="D13" t="s">
        <v>27</v>
      </c>
      <c r="E13" t="s">
        <v>38</v>
      </c>
      <c r="F13" s="4">
        <v>1</v>
      </c>
      <c r="G13" s="4">
        <v>41274</v>
      </c>
      <c r="H13" s="4">
        <v>30669.11</v>
      </c>
      <c r="I13" s="8">
        <v>0</v>
      </c>
      <c r="J13" s="4">
        <v>10604.89</v>
      </c>
      <c r="K13" s="4" t="str">
        <f t="shared" si="0"/>
        <v>May</v>
      </c>
      <c r="L13">
        <f t="shared" si="1"/>
        <v>5</v>
      </c>
      <c r="M13" s="9">
        <f t="shared" si="2"/>
        <v>0.25693875078742062</v>
      </c>
      <c r="N13" s="9">
        <f t="shared" si="3"/>
        <v>3.8221823569258793E-4</v>
      </c>
    </row>
    <row r="14" spans="1:17" x14ac:dyDescent="0.35">
      <c r="A14" s="6">
        <v>45187</v>
      </c>
      <c r="B14" t="s">
        <v>11</v>
      </c>
      <c r="C14" t="s">
        <v>17</v>
      </c>
      <c r="D14" t="s">
        <v>25</v>
      </c>
      <c r="E14" t="s">
        <v>29</v>
      </c>
      <c r="F14" s="4">
        <v>1</v>
      </c>
      <c r="G14" s="4">
        <v>30293.1</v>
      </c>
      <c r="H14" s="4">
        <v>22645.42</v>
      </c>
      <c r="I14" s="8">
        <v>0.1</v>
      </c>
      <c r="J14" s="4">
        <v>7647.68</v>
      </c>
      <c r="K14" s="4" t="str">
        <f t="shared" si="0"/>
        <v>September</v>
      </c>
      <c r="L14">
        <f t="shared" si="1"/>
        <v>9</v>
      </c>
      <c r="M14" s="9">
        <f t="shared" si="2"/>
        <v>0.25245616988687197</v>
      </c>
      <c r="N14" s="9">
        <f t="shared" si="3"/>
        <v>2.8052951581283939E-4</v>
      </c>
    </row>
    <row r="15" spans="1:17" x14ac:dyDescent="0.35">
      <c r="A15" s="6">
        <v>44959</v>
      </c>
      <c r="B15" t="s">
        <v>10</v>
      </c>
      <c r="C15" t="s">
        <v>22</v>
      </c>
      <c r="D15" t="s">
        <v>28</v>
      </c>
      <c r="E15" t="s">
        <v>39</v>
      </c>
      <c r="F15" s="4">
        <v>4</v>
      </c>
      <c r="G15" s="4">
        <v>92648</v>
      </c>
      <c r="H15" s="4">
        <v>65393.23</v>
      </c>
      <c r="I15" s="8">
        <v>0</v>
      </c>
      <c r="J15" s="4">
        <v>27254.77</v>
      </c>
      <c r="K15" s="4" t="str">
        <f t="shared" si="0"/>
        <v>February</v>
      </c>
      <c r="L15">
        <f t="shared" si="1"/>
        <v>2</v>
      </c>
      <c r="M15" s="9">
        <f t="shared" si="2"/>
        <v>0.29417548139193506</v>
      </c>
      <c r="N15" s="9">
        <f t="shared" si="3"/>
        <v>8.5796760915944387E-4</v>
      </c>
    </row>
    <row r="16" spans="1:17" x14ac:dyDescent="0.35">
      <c r="A16" s="6">
        <v>44961</v>
      </c>
      <c r="B16" t="s">
        <v>11</v>
      </c>
      <c r="C16" t="s">
        <v>17</v>
      </c>
      <c r="D16" t="s">
        <v>25</v>
      </c>
      <c r="E16" t="s">
        <v>32</v>
      </c>
      <c r="F16" s="4">
        <v>5</v>
      </c>
      <c r="G16" s="4">
        <v>133101.5</v>
      </c>
      <c r="H16" s="4">
        <v>94420.79</v>
      </c>
      <c r="I16" s="8">
        <v>0.15</v>
      </c>
      <c r="J16" s="4">
        <v>38680.71</v>
      </c>
      <c r="K16" s="4" t="str">
        <f t="shared" si="0"/>
        <v>February</v>
      </c>
      <c r="L16">
        <f t="shared" si="1"/>
        <v>2</v>
      </c>
      <c r="M16" s="9">
        <f t="shared" si="2"/>
        <v>0.29061062422286749</v>
      </c>
      <c r="N16" s="9">
        <f t="shared" si="3"/>
        <v>1.2325875974714589E-3</v>
      </c>
    </row>
    <row r="17" spans="1:14" x14ac:dyDescent="0.35">
      <c r="A17" s="6">
        <v>45181</v>
      </c>
      <c r="B17" t="s">
        <v>12</v>
      </c>
      <c r="C17" t="s">
        <v>21</v>
      </c>
      <c r="D17" t="s">
        <v>27</v>
      </c>
      <c r="E17" t="s">
        <v>40</v>
      </c>
      <c r="F17" s="4">
        <v>6</v>
      </c>
      <c r="G17" s="4">
        <v>166596</v>
      </c>
      <c r="H17" s="4">
        <v>121687.11</v>
      </c>
      <c r="I17" s="8">
        <v>0</v>
      </c>
      <c r="J17" s="4">
        <v>44908.89</v>
      </c>
      <c r="K17" s="4" t="str">
        <f t="shared" si="0"/>
        <v>September</v>
      </c>
      <c r="L17">
        <f t="shared" si="1"/>
        <v>9</v>
      </c>
      <c r="M17" s="9">
        <f t="shared" si="2"/>
        <v>0.26956763667795147</v>
      </c>
      <c r="N17" s="9">
        <f t="shared" si="3"/>
        <v>1.542763705806134E-3</v>
      </c>
    </row>
    <row r="18" spans="1:14" x14ac:dyDescent="0.35">
      <c r="A18" s="6">
        <v>45105</v>
      </c>
      <c r="B18" t="s">
        <v>10</v>
      </c>
      <c r="C18" t="s">
        <v>22</v>
      </c>
      <c r="D18" t="s">
        <v>25</v>
      </c>
      <c r="E18" t="s">
        <v>33</v>
      </c>
      <c r="F18" s="4">
        <v>7</v>
      </c>
      <c r="G18" s="4">
        <v>146419.70000000001</v>
      </c>
      <c r="H18" s="4">
        <v>81461.3</v>
      </c>
      <c r="I18" s="8">
        <v>0.05</v>
      </c>
      <c r="J18" s="4">
        <v>64958.400000000001</v>
      </c>
      <c r="K18" s="4" t="str">
        <f t="shared" si="0"/>
        <v>June</v>
      </c>
      <c r="L18">
        <f t="shared" si="1"/>
        <v>6</v>
      </c>
      <c r="M18" s="9">
        <f t="shared" si="2"/>
        <v>0.44364521987136973</v>
      </c>
      <c r="N18" s="9">
        <f t="shared" si="3"/>
        <v>1.3559209043135635E-3</v>
      </c>
    </row>
    <row r="19" spans="1:14" x14ac:dyDescent="0.35">
      <c r="A19" s="6">
        <v>45157</v>
      </c>
      <c r="B19" t="s">
        <v>9</v>
      </c>
      <c r="C19" t="s">
        <v>15</v>
      </c>
      <c r="D19" t="s">
        <v>27</v>
      </c>
      <c r="E19" t="s">
        <v>31</v>
      </c>
      <c r="F19" s="4">
        <v>5</v>
      </c>
      <c r="G19" s="4">
        <v>194016.75</v>
      </c>
      <c r="H19" s="4">
        <v>150729.99</v>
      </c>
      <c r="I19" s="8">
        <v>0.15</v>
      </c>
      <c r="J19" s="4">
        <v>43286.76</v>
      </c>
      <c r="K19" s="4" t="str">
        <f t="shared" si="0"/>
        <v>August</v>
      </c>
      <c r="L19">
        <f t="shared" si="1"/>
        <v>8</v>
      </c>
      <c r="M19" s="9">
        <f t="shared" si="2"/>
        <v>0.22310836564368799</v>
      </c>
      <c r="N19" s="9">
        <f t="shared" si="3"/>
        <v>1.7966937994817538E-3</v>
      </c>
    </row>
    <row r="20" spans="1:14" x14ac:dyDescent="0.35">
      <c r="A20" s="6">
        <v>45210</v>
      </c>
      <c r="B20" t="s">
        <v>12</v>
      </c>
      <c r="C20" t="s">
        <v>21</v>
      </c>
      <c r="D20" t="s">
        <v>25</v>
      </c>
      <c r="E20" t="s">
        <v>33</v>
      </c>
      <c r="F20" s="4">
        <v>4</v>
      </c>
      <c r="G20" s="4">
        <v>60112.800000000003</v>
      </c>
      <c r="H20" s="4">
        <v>43503.41</v>
      </c>
      <c r="I20" s="8">
        <v>0.1</v>
      </c>
      <c r="J20" s="4">
        <v>16609.39</v>
      </c>
      <c r="K20" s="4" t="str">
        <f t="shared" si="0"/>
        <v>October</v>
      </c>
      <c r="L20">
        <f t="shared" si="1"/>
        <v>10</v>
      </c>
      <c r="M20" s="9">
        <f t="shared" si="2"/>
        <v>0.276303715681186</v>
      </c>
      <c r="N20" s="9">
        <f t="shared" si="3"/>
        <v>5.5667510681158602E-4</v>
      </c>
    </row>
    <row r="21" spans="1:14" x14ac:dyDescent="0.35">
      <c r="A21" s="6">
        <v>44970</v>
      </c>
      <c r="B21" t="s">
        <v>10</v>
      </c>
      <c r="C21" t="s">
        <v>19</v>
      </c>
      <c r="D21" t="s">
        <v>27</v>
      </c>
      <c r="E21" t="s">
        <v>41</v>
      </c>
      <c r="F21" s="4">
        <v>1</v>
      </c>
      <c r="G21" s="4">
        <v>37842</v>
      </c>
      <c r="H21" s="4">
        <v>28416.240000000002</v>
      </c>
      <c r="I21" s="8">
        <v>0.15</v>
      </c>
      <c r="J21" s="4">
        <v>9425.76</v>
      </c>
      <c r="K21" s="4" t="str">
        <f t="shared" si="0"/>
        <v>February</v>
      </c>
      <c r="L21">
        <f t="shared" si="1"/>
        <v>2</v>
      </c>
      <c r="M21" s="9">
        <f t="shared" si="2"/>
        <v>0.24908197241160615</v>
      </c>
      <c r="N21" s="9">
        <f t="shared" si="3"/>
        <v>3.5043616986671784E-4</v>
      </c>
    </row>
    <row r="22" spans="1:14" x14ac:dyDescent="0.35">
      <c r="A22" s="6">
        <v>45116</v>
      </c>
      <c r="B22" t="s">
        <v>11</v>
      </c>
      <c r="C22" t="s">
        <v>18</v>
      </c>
      <c r="D22" t="s">
        <v>28</v>
      </c>
      <c r="E22" t="s">
        <v>42</v>
      </c>
      <c r="F22" s="4">
        <v>2</v>
      </c>
      <c r="G22" s="4">
        <v>18241</v>
      </c>
      <c r="H22" s="4">
        <v>11657.36</v>
      </c>
      <c r="I22" s="8">
        <v>0.15</v>
      </c>
      <c r="J22" s="4">
        <v>6583.64</v>
      </c>
      <c r="K22" s="4" t="str">
        <f t="shared" si="0"/>
        <v>July</v>
      </c>
      <c r="L22">
        <f t="shared" si="1"/>
        <v>7</v>
      </c>
      <c r="M22" s="9">
        <f t="shared" si="2"/>
        <v>0.36092538786250755</v>
      </c>
      <c r="N22" s="9">
        <f t="shared" si="3"/>
        <v>1.6892093902380425E-4</v>
      </c>
    </row>
    <row r="23" spans="1:14" x14ac:dyDescent="0.35">
      <c r="A23" s="6">
        <v>45185</v>
      </c>
      <c r="B23" t="s">
        <v>12</v>
      </c>
      <c r="C23" t="s">
        <v>23</v>
      </c>
      <c r="D23" t="s">
        <v>27</v>
      </c>
      <c r="E23" t="s">
        <v>40</v>
      </c>
      <c r="F23" s="4">
        <v>6</v>
      </c>
      <c r="G23" s="4">
        <v>37107.599999999999</v>
      </c>
      <c r="H23" s="4">
        <v>23679.93</v>
      </c>
      <c r="I23" s="8">
        <v>0.15</v>
      </c>
      <c r="J23" s="4">
        <v>13427.67</v>
      </c>
      <c r="K23" s="4" t="str">
        <f t="shared" si="0"/>
        <v>September</v>
      </c>
      <c r="L23">
        <f t="shared" si="1"/>
        <v>9</v>
      </c>
      <c r="M23" s="9">
        <f t="shared" si="2"/>
        <v>0.36185767875044467</v>
      </c>
      <c r="N23" s="9">
        <f t="shared" si="3"/>
        <v>3.4363525228439873E-4</v>
      </c>
    </row>
    <row r="24" spans="1:14" x14ac:dyDescent="0.35">
      <c r="A24" s="6">
        <v>45098</v>
      </c>
      <c r="B24" t="s">
        <v>9</v>
      </c>
      <c r="C24" t="s">
        <v>20</v>
      </c>
      <c r="D24" t="s">
        <v>26</v>
      </c>
      <c r="E24" t="s">
        <v>35</v>
      </c>
      <c r="F24" s="4">
        <v>1</v>
      </c>
      <c r="G24" s="4">
        <v>4248</v>
      </c>
      <c r="H24" s="4">
        <v>2463.6999999999998</v>
      </c>
      <c r="I24" s="8">
        <v>0</v>
      </c>
      <c r="J24" s="4">
        <v>1784.3</v>
      </c>
      <c r="K24" s="4" t="str">
        <f t="shared" si="0"/>
        <v>June</v>
      </c>
      <c r="L24">
        <f t="shared" si="1"/>
        <v>6</v>
      </c>
      <c r="M24" s="9">
        <f t="shared" si="2"/>
        <v>0.42003295668549906</v>
      </c>
      <c r="N24" s="9">
        <f t="shared" si="3"/>
        <v>3.9338640917335692E-5</v>
      </c>
    </row>
    <row r="25" spans="1:14" x14ac:dyDescent="0.35">
      <c r="A25" s="6">
        <v>45221</v>
      </c>
      <c r="B25" t="s">
        <v>11</v>
      </c>
      <c r="C25" t="s">
        <v>17</v>
      </c>
      <c r="D25" t="s">
        <v>25</v>
      </c>
      <c r="E25" t="s">
        <v>32</v>
      </c>
      <c r="F25" s="4">
        <v>1</v>
      </c>
      <c r="G25" s="4">
        <v>44722.2</v>
      </c>
      <c r="H25" s="4">
        <v>35357.9</v>
      </c>
      <c r="I25" s="8">
        <v>0.05</v>
      </c>
      <c r="J25" s="4">
        <v>9364.2999999999993</v>
      </c>
      <c r="K25" s="4" t="str">
        <f t="shared" si="0"/>
        <v>October</v>
      </c>
      <c r="L25">
        <f t="shared" si="1"/>
        <v>10</v>
      </c>
      <c r="M25" s="9">
        <f t="shared" si="2"/>
        <v>0.20938817857797692</v>
      </c>
      <c r="N25" s="9">
        <f t="shared" si="3"/>
        <v>4.1415032175924442E-4</v>
      </c>
    </row>
    <row r="26" spans="1:14" x14ac:dyDescent="0.35">
      <c r="A26" s="6">
        <v>45056</v>
      </c>
      <c r="B26" t="s">
        <v>10</v>
      </c>
      <c r="C26" t="s">
        <v>22</v>
      </c>
      <c r="D26" t="s">
        <v>27</v>
      </c>
      <c r="E26" t="s">
        <v>38</v>
      </c>
      <c r="F26" s="4">
        <v>1</v>
      </c>
      <c r="G26" s="4">
        <v>25405.200000000001</v>
      </c>
      <c r="H26" s="4">
        <v>17844.39</v>
      </c>
      <c r="I26" s="8">
        <v>0.1</v>
      </c>
      <c r="J26" s="4">
        <v>7560.81</v>
      </c>
      <c r="K26" s="4" t="str">
        <f t="shared" si="0"/>
        <v>May</v>
      </c>
      <c r="L26">
        <f t="shared" si="1"/>
        <v>5</v>
      </c>
      <c r="M26" s="9">
        <f t="shared" si="2"/>
        <v>0.29760875726229274</v>
      </c>
      <c r="N26" s="9">
        <f t="shared" si="3"/>
        <v>2.3526507538443897E-4</v>
      </c>
    </row>
    <row r="27" spans="1:14" x14ac:dyDescent="0.35">
      <c r="A27" s="6">
        <v>45144</v>
      </c>
      <c r="B27" t="s">
        <v>11</v>
      </c>
      <c r="C27" t="s">
        <v>18</v>
      </c>
      <c r="D27" t="s">
        <v>25</v>
      </c>
      <c r="E27" t="s">
        <v>33</v>
      </c>
      <c r="F27" s="4">
        <v>1</v>
      </c>
      <c r="G27" s="4">
        <v>44856.15</v>
      </c>
      <c r="H27" s="4">
        <v>30624.799999999999</v>
      </c>
      <c r="I27" s="8">
        <v>0.05</v>
      </c>
      <c r="J27" s="4">
        <v>14231.35</v>
      </c>
      <c r="K27" s="4" t="str">
        <f t="shared" si="0"/>
        <v>August</v>
      </c>
      <c r="L27">
        <f t="shared" si="1"/>
        <v>8</v>
      </c>
      <c r="M27" s="9">
        <f t="shared" si="2"/>
        <v>0.31726641720254634</v>
      </c>
      <c r="N27" s="9">
        <f t="shared" si="3"/>
        <v>4.1539076689833983E-4</v>
      </c>
    </row>
    <row r="28" spans="1:14" x14ac:dyDescent="0.35">
      <c r="A28" s="6">
        <v>45220</v>
      </c>
      <c r="B28" t="s">
        <v>11</v>
      </c>
      <c r="C28" t="s">
        <v>18</v>
      </c>
      <c r="D28" t="s">
        <v>26</v>
      </c>
      <c r="E28" t="s">
        <v>35</v>
      </c>
      <c r="F28" s="4">
        <v>4</v>
      </c>
      <c r="G28" s="4">
        <v>120492</v>
      </c>
      <c r="H28" s="4">
        <v>73565.179999999993</v>
      </c>
      <c r="I28" s="8">
        <v>0.1</v>
      </c>
      <c r="J28" s="4">
        <v>46926.82</v>
      </c>
      <c r="K28" s="4" t="str">
        <f t="shared" si="0"/>
        <v>October</v>
      </c>
      <c r="L28">
        <f t="shared" si="1"/>
        <v>10</v>
      </c>
      <c r="M28" s="9">
        <f t="shared" si="2"/>
        <v>0.38946004714005911</v>
      </c>
      <c r="N28" s="9">
        <f t="shared" si="3"/>
        <v>1.1158172131383269E-3</v>
      </c>
    </row>
    <row r="29" spans="1:14" x14ac:dyDescent="0.35">
      <c r="A29" s="6">
        <v>45070</v>
      </c>
      <c r="B29" t="s">
        <v>11</v>
      </c>
      <c r="C29" t="s">
        <v>16</v>
      </c>
      <c r="D29" t="s">
        <v>26</v>
      </c>
      <c r="E29" t="s">
        <v>34</v>
      </c>
      <c r="F29" s="4">
        <v>6</v>
      </c>
      <c r="G29" s="4">
        <v>129648.6</v>
      </c>
      <c r="H29" s="4">
        <v>97769.04</v>
      </c>
      <c r="I29" s="8">
        <v>0.1</v>
      </c>
      <c r="J29" s="4">
        <v>31879.56</v>
      </c>
      <c r="K29" s="4" t="str">
        <f t="shared" si="0"/>
        <v>May</v>
      </c>
      <c r="L29">
        <f t="shared" si="1"/>
        <v>5</v>
      </c>
      <c r="M29" s="9">
        <f t="shared" si="2"/>
        <v>0.24589204974060652</v>
      </c>
      <c r="N29" s="9">
        <f t="shared" si="3"/>
        <v>1.2006119870139568E-3</v>
      </c>
    </row>
    <row r="30" spans="1:14" x14ac:dyDescent="0.35">
      <c r="A30" s="6">
        <v>45272</v>
      </c>
      <c r="B30" t="s">
        <v>12</v>
      </c>
      <c r="C30" t="s">
        <v>23</v>
      </c>
      <c r="D30" t="s">
        <v>26</v>
      </c>
      <c r="E30" t="s">
        <v>35</v>
      </c>
      <c r="F30" s="4">
        <v>6</v>
      </c>
      <c r="G30" s="4">
        <v>87523.199999999997</v>
      </c>
      <c r="H30" s="4">
        <v>61066.97</v>
      </c>
      <c r="I30" s="8">
        <v>0.1</v>
      </c>
      <c r="J30" s="4">
        <v>26456.23</v>
      </c>
      <c r="K30" s="4" t="str">
        <f t="shared" si="0"/>
        <v>December</v>
      </c>
      <c r="L30">
        <f t="shared" si="1"/>
        <v>12</v>
      </c>
      <c r="M30" s="9">
        <f t="shared" si="2"/>
        <v>0.30227676775986251</v>
      </c>
      <c r="N30" s="9">
        <f t="shared" si="3"/>
        <v>8.1050935422225879E-4</v>
      </c>
    </row>
    <row r="31" spans="1:14" x14ac:dyDescent="0.35">
      <c r="A31" s="6">
        <v>45054</v>
      </c>
      <c r="B31" t="s">
        <v>9</v>
      </c>
      <c r="C31" t="s">
        <v>15</v>
      </c>
      <c r="D31" t="s">
        <v>25</v>
      </c>
      <c r="E31" t="s">
        <v>37</v>
      </c>
      <c r="F31" s="4">
        <v>7</v>
      </c>
      <c r="G31" s="4">
        <v>131089</v>
      </c>
      <c r="H31" s="4">
        <v>94742.53</v>
      </c>
      <c r="I31" s="8">
        <v>0</v>
      </c>
      <c r="J31" s="4">
        <v>36346.47</v>
      </c>
      <c r="K31" s="4" t="str">
        <f t="shared" si="0"/>
        <v>May</v>
      </c>
      <c r="L31">
        <f t="shared" si="1"/>
        <v>5</v>
      </c>
      <c r="M31" s="9">
        <f t="shared" si="2"/>
        <v>0.27726559818138824</v>
      </c>
      <c r="N31" s="9">
        <f t="shared" si="3"/>
        <v>1.2139508237317841E-3</v>
      </c>
    </row>
    <row r="32" spans="1:14" x14ac:dyDescent="0.35">
      <c r="A32" s="6">
        <v>45077</v>
      </c>
      <c r="B32" t="s">
        <v>9</v>
      </c>
      <c r="C32" t="s">
        <v>20</v>
      </c>
      <c r="D32" t="s">
        <v>26</v>
      </c>
      <c r="E32" t="s">
        <v>43</v>
      </c>
      <c r="F32" s="4">
        <v>3</v>
      </c>
      <c r="G32" s="4">
        <v>25965</v>
      </c>
      <c r="H32" s="4">
        <v>15017.33</v>
      </c>
      <c r="I32" s="8">
        <v>0</v>
      </c>
      <c r="J32" s="4">
        <v>10947.67</v>
      </c>
      <c r="K32" s="4" t="str">
        <f t="shared" si="0"/>
        <v>May</v>
      </c>
      <c r="L32">
        <f t="shared" si="1"/>
        <v>5</v>
      </c>
      <c r="M32" s="9">
        <f t="shared" si="2"/>
        <v>0.42163181205468903</v>
      </c>
      <c r="N32" s="9">
        <f t="shared" si="3"/>
        <v>2.4044910814939295E-4</v>
      </c>
    </row>
    <row r="33" spans="1:14" x14ac:dyDescent="0.35">
      <c r="A33" s="6">
        <v>44986</v>
      </c>
      <c r="B33" t="s">
        <v>9</v>
      </c>
      <c r="C33" t="s">
        <v>20</v>
      </c>
      <c r="D33" t="s">
        <v>28</v>
      </c>
      <c r="E33" t="s">
        <v>42</v>
      </c>
      <c r="F33" s="4">
        <v>7</v>
      </c>
      <c r="G33" s="4">
        <v>314830.95</v>
      </c>
      <c r="H33" s="4">
        <v>250461.27</v>
      </c>
      <c r="I33" s="8">
        <v>0.05</v>
      </c>
      <c r="J33" s="4">
        <v>64369.68</v>
      </c>
      <c r="K33" s="4" t="str">
        <f t="shared" si="0"/>
        <v>March</v>
      </c>
      <c r="L33">
        <f t="shared" si="1"/>
        <v>3</v>
      </c>
      <c r="M33" s="9">
        <f t="shared" si="2"/>
        <v>0.20445791622456433</v>
      </c>
      <c r="N33" s="9">
        <f t="shared" si="3"/>
        <v>2.9154947485201667E-3</v>
      </c>
    </row>
    <row r="34" spans="1:14" x14ac:dyDescent="0.35">
      <c r="A34" s="6">
        <v>44935</v>
      </c>
      <c r="B34" t="s">
        <v>12</v>
      </c>
      <c r="C34" t="s">
        <v>24</v>
      </c>
      <c r="D34" t="s">
        <v>27</v>
      </c>
      <c r="E34" t="s">
        <v>31</v>
      </c>
      <c r="F34" s="4">
        <v>6</v>
      </c>
      <c r="G34" s="4">
        <v>102873.60000000001</v>
      </c>
      <c r="H34" s="4">
        <v>79280.47</v>
      </c>
      <c r="I34" s="8">
        <v>0.2</v>
      </c>
      <c r="J34" s="4">
        <v>23593.13</v>
      </c>
      <c r="K34" s="4" t="str">
        <f t="shared" si="0"/>
        <v>January</v>
      </c>
      <c r="L34">
        <f t="shared" si="1"/>
        <v>1</v>
      </c>
      <c r="M34" s="9">
        <f t="shared" si="2"/>
        <v>0.22934095822446185</v>
      </c>
      <c r="N34" s="9">
        <f t="shared" si="3"/>
        <v>9.5266186682524141E-4</v>
      </c>
    </row>
    <row r="35" spans="1:14" x14ac:dyDescent="0.35">
      <c r="A35" s="6">
        <v>45001</v>
      </c>
      <c r="B35" t="s">
        <v>12</v>
      </c>
      <c r="C35" t="s">
        <v>21</v>
      </c>
      <c r="D35" t="s">
        <v>25</v>
      </c>
      <c r="E35" t="s">
        <v>37</v>
      </c>
      <c r="F35" s="4">
        <v>3</v>
      </c>
      <c r="G35" s="4">
        <v>14997</v>
      </c>
      <c r="H35" s="4">
        <v>10655.49</v>
      </c>
      <c r="I35" s="8">
        <v>0</v>
      </c>
      <c r="J35" s="4">
        <v>4341.51</v>
      </c>
      <c r="K35" s="4" t="str">
        <f t="shared" si="0"/>
        <v>March</v>
      </c>
      <c r="L35">
        <f t="shared" si="1"/>
        <v>3</v>
      </c>
      <c r="M35" s="9">
        <f t="shared" si="2"/>
        <v>0.28949189837967593</v>
      </c>
      <c r="N35" s="9">
        <f t="shared" si="3"/>
        <v>1.3887984883175221E-4</v>
      </c>
    </row>
    <row r="36" spans="1:14" x14ac:dyDescent="0.35">
      <c r="A36" s="6">
        <v>45275</v>
      </c>
      <c r="B36" t="s">
        <v>12</v>
      </c>
      <c r="C36" t="s">
        <v>24</v>
      </c>
      <c r="D36" t="s">
        <v>26</v>
      </c>
      <c r="E36" t="s">
        <v>30</v>
      </c>
      <c r="F36" s="4">
        <v>6</v>
      </c>
      <c r="G36" s="4">
        <v>293124</v>
      </c>
      <c r="H36" s="4">
        <v>209840.27</v>
      </c>
      <c r="I36" s="8">
        <v>0</v>
      </c>
      <c r="J36" s="4">
        <v>83283.73</v>
      </c>
      <c r="K36" s="4" t="str">
        <f t="shared" si="0"/>
        <v>December</v>
      </c>
      <c r="L36">
        <f t="shared" si="1"/>
        <v>12</v>
      </c>
      <c r="M36" s="9">
        <f t="shared" si="2"/>
        <v>0.28412456844202449</v>
      </c>
      <c r="N36" s="9">
        <f t="shared" si="3"/>
        <v>2.714477349400449E-3</v>
      </c>
    </row>
    <row r="37" spans="1:14" x14ac:dyDescent="0.35">
      <c r="A37" s="6">
        <v>45215</v>
      </c>
      <c r="B37" t="s">
        <v>10</v>
      </c>
      <c r="C37" t="s">
        <v>19</v>
      </c>
      <c r="D37" t="s">
        <v>28</v>
      </c>
      <c r="E37" t="s">
        <v>36</v>
      </c>
      <c r="F37" s="4">
        <v>6</v>
      </c>
      <c r="G37" s="4">
        <v>241026</v>
      </c>
      <c r="H37" s="4">
        <v>175477.73</v>
      </c>
      <c r="I37" s="8">
        <v>0.15</v>
      </c>
      <c r="J37" s="4">
        <v>65548.27</v>
      </c>
      <c r="K37" s="4" t="str">
        <f t="shared" si="0"/>
        <v>October</v>
      </c>
      <c r="L37">
        <f t="shared" si="1"/>
        <v>10</v>
      </c>
      <c r="M37" s="9">
        <f t="shared" si="2"/>
        <v>0.2719551832582377</v>
      </c>
      <c r="N37" s="9">
        <f t="shared" si="3"/>
        <v>2.2320233676416555E-3</v>
      </c>
    </row>
    <row r="38" spans="1:14" x14ac:dyDescent="0.35">
      <c r="A38" s="6">
        <v>45102</v>
      </c>
      <c r="B38" t="s">
        <v>10</v>
      </c>
      <c r="C38" t="s">
        <v>14</v>
      </c>
      <c r="D38" t="s">
        <v>26</v>
      </c>
      <c r="E38" t="s">
        <v>30</v>
      </c>
      <c r="F38" s="4">
        <v>7</v>
      </c>
      <c r="G38" s="4">
        <v>241402</v>
      </c>
      <c r="H38" s="4">
        <v>151362.72</v>
      </c>
      <c r="I38" s="8">
        <v>0</v>
      </c>
      <c r="J38" s="4">
        <v>90039.28</v>
      </c>
      <c r="K38" s="4" t="str">
        <f t="shared" si="0"/>
        <v>June</v>
      </c>
      <c r="L38">
        <f t="shared" si="1"/>
        <v>6</v>
      </c>
      <c r="M38" s="9">
        <f t="shared" si="2"/>
        <v>0.37298481371322523</v>
      </c>
      <c r="N38" s="9">
        <f t="shared" si="3"/>
        <v>2.2355053189092918E-3</v>
      </c>
    </row>
    <row r="39" spans="1:14" x14ac:dyDescent="0.35">
      <c r="A39" s="6">
        <v>45190</v>
      </c>
      <c r="B39" t="s">
        <v>11</v>
      </c>
      <c r="C39" t="s">
        <v>17</v>
      </c>
      <c r="D39" t="s">
        <v>25</v>
      </c>
      <c r="E39" t="s">
        <v>32</v>
      </c>
      <c r="F39" s="4">
        <v>7</v>
      </c>
      <c r="G39" s="4">
        <v>100402.4</v>
      </c>
      <c r="H39" s="4">
        <v>67438.84</v>
      </c>
      <c r="I39" s="8">
        <v>0.2</v>
      </c>
      <c r="J39" s="4">
        <v>32963.56</v>
      </c>
      <c r="K39" s="4" t="str">
        <f t="shared" si="0"/>
        <v>September</v>
      </c>
      <c r="L39">
        <f t="shared" si="1"/>
        <v>9</v>
      </c>
      <c r="M39" s="9">
        <f t="shared" si="2"/>
        <v>0.32831446260248759</v>
      </c>
      <c r="N39" s="9">
        <f t="shared" si="3"/>
        <v>9.2977729774922438E-4</v>
      </c>
    </row>
    <row r="40" spans="1:14" x14ac:dyDescent="0.35">
      <c r="A40" s="6">
        <v>45243</v>
      </c>
      <c r="B40" t="s">
        <v>9</v>
      </c>
      <c r="C40" t="s">
        <v>15</v>
      </c>
      <c r="D40" t="s">
        <v>28</v>
      </c>
      <c r="E40" t="s">
        <v>39</v>
      </c>
      <c r="F40" s="4">
        <v>6</v>
      </c>
      <c r="G40" s="4">
        <v>167545.20000000001</v>
      </c>
      <c r="H40" s="4">
        <v>120168.61</v>
      </c>
      <c r="I40" s="8">
        <v>0.15</v>
      </c>
      <c r="J40" s="4">
        <v>47376.59</v>
      </c>
      <c r="K40" s="4" t="str">
        <f t="shared" si="0"/>
        <v>November</v>
      </c>
      <c r="L40">
        <f t="shared" si="1"/>
        <v>11</v>
      </c>
      <c r="M40" s="9">
        <f t="shared" si="2"/>
        <v>0.28276900800500399</v>
      </c>
      <c r="N40" s="9">
        <f t="shared" si="3"/>
        <v>1.5515537806551772E-3</v>
      </c>
    </row>
    <row r="41" spans="1:14" x14ac:dyDescent="0.35">
      <c r="A41" s="6">
        <v>45084</v>
      </c>
      <c r="B41" t="s">
        <v>11</v>
      </c>
      <c r="C41" t="s">
        <v>17</v>
      </c>
      <c r="D41" t="s">
        <v>26</v>
      </c>
      <c r="E41" t="s">
        <v>35</v>
      </c>
      <c r="F41" s="4">
        <v>1</v>
      </c>
      <c r="G41" s="4">
        <v>40947</v>
      </c>
      <c r="H41" s="4">
        <v>32701.81</v>
      </c>
      <c r="I41" s="8">
        <v>0</v>
      </c>
      <c r="J41" s="4">
        <v>8245.19</v>
      </c>
      <c r="K41" s="4" t="str">
        <f t="shared" si="0"/>
        <v>June</v>
      </c>
      <c r="L41">
        <f t="shared" si="1"/>
        <v>6</v>
      </c>
      <c r="M41" s="9">
        <f t="shared" si="2"/>
        <v>0.2013624929787286</v>
      </c>
      <c r="N41" s="9">
        <f t="shared" si="3"/>
        <v>3.7919004935078735E-4</v>
      </c>
    </row>
    <row r="42" spans="1:14" x14ac:dyDescent="0.35">
      <c r="A42" s="6">
        <v>45275</v>
      </c>
      <c r="B42" t="s">
        <v>12</v>
      </c>
      <c r="C42" t="s">
        <v>24</v>
      </c>
      <c r="D42" t="s">
        <v>27</v>
      </c>
      <c r="E42" t="s">
        <v>41</v>
      </c>
      <c r="F42" s="4">
        <v>3</v>
      </c>
      <c r="G42" s="4">
        <v>99405</v>
      </c>
      <c r="H42" s="4">
        <v>78357.78</v>
      </c>
      <c r="I42" s="8">
        <v>0</v>
      </c>
      <c r="J42" s="4">
        <v>21047.22</v>
      </c>
      <c r="K42" s="4" t="str">
        <f t="shared" si="0"/>
        <v>December</v>
      </c>
      <c r="L42">
        <f t="shared" si="1"/>
        <v>12</v>
      </c>
      <c r="M42" s="9">
        <f t="shared" si="2"/>
        <v>0.21173200543232232</v>
      </c>
      <c r="N42" s="9">
        <f t="shared" si="3"/>
        <v>9.2054086638129816E-4</v>
      </c>
    </row>
    <row r="43" spans="1:14" x14ac:dyDescent="0.35">
      <c r="A43" s="6">
        <v>45179</v>
      </c>
      <c r="B43" t="s">
        <v>12</v>
      </c>
      <c r="C43" t="s">
        <v>24</v>
      </c>
      <c r="D43" t="s">
        <v>27</v>
      </c>
      <c r="E43" t="s">
        <v>40</v>
      </c>
      <c r="F43" s="4">
        <v>3</v>
      </c>
      <c r="G43" s="4">
        <v>3597</v>
      </c>
      <c r="H43" s="4">
        <v>2046.11</v>
      </c>
      <c r="I43" s="8">
        <v>0</v>
      </c>
      <c r="J43" s="4">
        <v>1550.89</v>
      </c>
      <c r="K43" s="4" t="str">
        <f t="shared" si="0"/>
        <v>September</v>
      </c>
      <c r="L43">
        <f t="shared" si="1"/>
        <v>9</v>
      </c>
      <c r="M43" s="9">
        <f t="shared" si="2"/>
        <v>0.4311620795107034</v>
      </c>
      <c r="N43" s="9">
        <f t="shared" si="3"/>
        <v>3.3310049759806143E-5</v>
      </c>
    </row>
    <row r="44" spans="1:14" x14ac:dyDescent="0.35">
      <c r="A44" s="6">
        <v>44980</v>
      </c>
      <c r="B44" t="s">
        <v>12</v>
      </c>
      <c r="C44" t="s">
        <v>21</v>
      </c>
      <c r="D44" t="s">
        <v>27</v>
      </c>
      <c r="E44" t="s">
        <v>31</v>
      </c>
      <c r="F44" s="4">
        <v>3</v>
      </c>
      <c r="G44" s="4">
        <v>81423</v>
      </c>
      <c r="H44" s="4">
        <v>52816.89</v>
      </c>
      <c r="I44" s="8">
        <v>0</v>
      </c>
      <c r="J44" s="4">
        <v>28606.11</v>
      </c>
      <c r="K44" s="4" t="str">
        <f t="shared" si="0"/>
        <v>February</v>
      </c>
      <c r="L44">
        <f t="shared" si="1"/>
        <v>2</v>
      </c>
      <c r="M44" s="9">
        <f t="shared" si="2"/>
        <v>0.35132714343612986</v>
      </c>
      <c r="N44" s="9">
        <f t="shared" si="3"/>
        <v>7.5401839910833901E-4</v>
      </c>
    </row>
    <row r="45" spans="1:14" x14ac:dyDescent="0.35">
      <c r="A45" s="6">
        <v>45199</v>
      </c>
      <c r="B45" t="s">
        <v>10</v>
      </c>
      <c r="C45" t="s">
        <v>22</v>
      </c>
      <c r="D45" t="s">
        <v>26</v>
      </c>
      <c r="E45" t="s">
        <v>34</v>
      </c>
      <c r="F45" s="4">
        <v>2</v>
      </c>
      <c r="G45" s="4">
        <v>15114.5</v>
      </c>
      <c r="H45" s="4">
        <v>9273.36</v>
      </c>
      <c r="I45" s="8">
        <v>0.05</v>
      </c>
      <c r="J45" s="4">
        <v>5841.14</v>
      </c>
      <c r="K45" s="4" t="str">
        <f t="shared" si="0"/>
        <v>September</v>
      </c>
      <c r="L45">
        <f t="shared" si="1"/>
        <v>9</v>
      </c>
      <c r="M45" s="9">
        <f t="shared" si="2"/>
        <v>0.38645936021701016</v>
      </c>
      <c r="N45" s="9">
        <f t="shared" si="3"/>
        <v>1.3996795860288848E-4</v>
      </c>
    </row>
    <row r="46" spans="1:14" x14ac:dyDescent="0.35">
      <c r="A46" s="6">
        <v>44952</v>
      </c>
      <c r="B46" t="s">
        <v>11</v>
      </c>
      <c r="C46" t="s">
        <v>16</v>
      </c>
      <c r="D46" t="s">
        <v>27</v>
      </c>
      <c r="E46" t="s">
        <v>40</v>
      </c>
      <c r="F46" s="4">
        <v>6</v>
      </c>
      <c r="G46" s="4">
        <v>194932.8</v>
      </c>
      <c r="H46" s="4">
        <v>121662.93</v>
      </c>
      <c r="I46" s="8">
        <v>0.2</v>
      </c>
      <c r="J46" s="4">
        <v>73269.87</v>
      </c>
      <c r="K46" s="4" t="str">
        <f t="shared" si="0"/>
        <v>January</v>
      </c>
      <c r="L46">
        <f t="shared" si="1"/>
        <v>1</v>
      </c>
      <c r="M46" s="9">
        <f t="shared" si="2"/>
        <v>0.37587245450739948</v>
      </c>
      <c r="N46" s="9">
        <f t="shared" si="3"/>
        <v>1.805176888467706E-3</v>
      </c>
    </row>
    <row r="47" spans="1:14" x14ac:dyDescent="0.35">
      <c r="A47" s="6">
        <v>44962</v>
      </c>
      <c r="B47" t="s">
        <v>9</v>
      </c>
      <c r="C47" t="s">
        <v>20</v>
      </c>
      <c r="D47" t="s">
        <v>27</v>
      </c>
      <c r="E47" t="s">
        <v>31</v>
      </c>
      <c r="F47" s="4">
        <v>5</v>
      </c>
      <c r="G47" s="4">
        <v>113311.25</v>
      </c>
      <c r="H47" s="4">
        <v>62468.06</v>
      </c>
      <c r="I47" s="8">
        <v>0.05</v>
      </c>
      <c r="J47" s="4">
        <v>50843.19</v>
      </c>
      <c r="K47" s="4" t="str">
        <f t="shared" si="0"/>
        <v>February</v>
      </c>
      <c r="L47">
        <f t="shared" si="1"/>
        <v>2</v>
      </c>
      <c r="M47" s="9">
        <f t="shared" si="2"/>
        <v>0.44870381361074035</v>
      </c>
      <c r="N47" s="9">
        <f t="shared" si="3"/>
        <v>1.0493198153588639E-3</v>
      </c>
    </row>
    <row r="48" spans="1:14" x14ac:dyDescent="0.35">
      <c r="A48" s="6">
        <v>45069</v>
      </c>
      <c r="B48" t="s">
        <v>12</v>
      </c>
      <c r="C48" t="s">
        <v>23</v>
      </c>
      <c r="D48" t="s">
        <v>26</v>
      </c>
      <c r="E48" t="s">
        <v>30</v>
      </c>
      <c r="F48" s="4">
        <v>6</v>
      </c>
      <c r="G48" s="4">
        <v>25474.5</v>
      </c>
      <c r="H48" s="4">
        <v>19657.509999999998</v>
      </c>
      <c r="I48" s="8">
        <v>0.15</v>
      </c>
      <c r="J48" s="4">
        <v>5816.99</v>
      </c>
      <c r="K48" s="4" t="str">
        <f t="shared" si="0"/>
        <v>May</v>
      </c>
      <c r="L48">
        <f t="shared" si="1"/>
        <v>5</v>
      </c>
      <c r="M48" s="9">
        <f t="shared" si="2"/>
        <v>0.22834560050246325</v>
      </c>
      <c r="N48" s="9">
        <f t="shared" si="3"/>
        <v>2.3590682863669211E-4</v>
      </c>
    </row>
    <row r="49" spans="1:14" x14ac:dyDescent="0.35">
      <c r="A49" s="6">
        <v>44989</v>
      </c>
      <c r="B49" t="s">
        <v>11</v>
      </c>
      <c r="C49" t="s">
        <v>18</v>
      </c>
      <c r="D49" t="s">
        <v>28</v>
      </c>
      <c r="E49" t="s">
        <v>44</v>
      </c>
      <c r="F49" s="4">
        <v>7</v>
      </c>
      <c r="G49" s="4">
        <v>214962.3</v>
      </c>
      <c r="H49" s="4">
        <v>143250.76999999999</v>
      </c>
      <c r="I49" s="8">
        <v>0.1</v>
      </c>
      <c r="J49" s="4">
        <v>71711.53</v>
      </c>
      <c r="K49" s="4" t="str">
        <f t="shared" si="0"/>
        <v>March</v>
      </c>
      <c r="L49">
        <f t="shared" si="1"/>
        <v>3</v>
      </c>
      <c r="M49" s="9">
        <f t="shared" si="2"/>
        <v>0.33360049645914658</v>
      </c>
      <c r="N49" s="9">
        <f t="shared" si="3"/>
        <v>1.990660247284508E-3</v>
      </c>
    </row>
    <row r="50" spans="1:14" x14ac:dyDescent="0.35">
      <c r="A50" s="6">
        <v>45197</v>
      </c>
      <c r="B50" t="s">
        <v>10</v>
      </c>
      <c r="C50" t="s">
        <v>14</v>
      </c>
      <c r="D50" t="s">
        <v>28</v>
      </c>
      <c r="E50" t="s">
        <v>36</v>
      </c>
      <c r="F50" s="4">
        <v>2</v>
      </c>
      <c r="G50" s="4">
        <v>53590.8</v>
      </c>
      <c r="H50" s="4">
        <v>29995.24</v>
      </c>
      <c r="I50" s="8">
        <v>0.15</v>
      </c>
      <c r="J50" s="4">
        <v>23595.56</v>
      </c>
      <c r="K50" s="4" t="str">
        <f t="shared" si="0"/>
        <v>September</v>
      </c>
      <c r="L50">
        <f t="shared" si="1"/>
        <v>9</v>
      </c>
      <c r="M50" s="9">
        <f t="shared" si="2"/>
        <v>0.44029124401949588</v>
      </c>
      <c r="N50" s="9">
        <f t="shared" si="3"/>
        <v>4.9627806913200422E-4</v>
      </c>
    </row>
    <row r="51" spans="1:14" x14ac:dyDescent="0.35">
      <c r="A51" s="6">
        <v>45034</v>
      </c>
      <c r="B51" t="s">
        <v>10</v>
      </c>
      <c r="C51" t="s">
        <v>22</v>
      </c>
      <c r="D51" t="s">
        <v>26</v>
      </c>
      <c r="E51" t="s">
        <v>43</v>
      </c>
      <c r="F51" s="4">
        <v>1</v>
      </c>
      <c r="G51" s="4">
        <v>12079.2</v>
      </c>
      <c r="H51" s="4">
        <v>7463.57</v>
      </c>
      <c r="I51" s="8">
        <v>0.2</v>
      </c>
      <c r="J51" s="4">
        <v>4615.63</v>
      </c>
      <c r="K51" s="4" t="str">
        <f t="shared" si="0"/>
        <v>April</v>
      </c>
      <c r="L51">
        <f t="shared" si="1"/>
        <v>4</v>
      </c>
      <c r="M51" s="9">
        <f t="shared" si="2"/>
        <v>0.38211388171402078</v>
      </c>
      <c r="N51" s="9">
        <f t="shared" si="3"/>
        <v>1.1185953657454834E-4</v>
      </c>
    </row>
    <row r="52" spans="1:14" x14ac:dyDescent="0.35">
      <c r="A52" s="6">
        <v>45234</v>
      </c>
      <c r="B52" t="s">
        <v>12</v>
      </c>
      <c r="C52" t="s">
        <v>21</v>
      </c>
      <c r="D52" t="s">
        <v>26</v>
      </c>
      <c r="E52" t="s">
        <v>34</v>
      </c>
      <c r="F52" s="4">
        <v>5</v>
      </c>
      <c r="G52" s="4">
        <v>146668.5</v>
      </c>
      <c r="H52" s="4">
        <v>104040.4</v>
      </c>
      <c r="I52" s="8">
        <v>0.1</v>
      </c>
      <c r="J52" s="4">
        <v>42628.1</v>
      </c>
      <c r="K52" s="4" t="str">
        <f t="shared" si="0"/>
        <v>November</v>
      </c>
      <c r="L52">
        <f t="shared" si="1"/>
        <v>11</v>
      </c>
      <c r="M52" s="9">
        <f t="shared" si="2"/>
        <v>0.2906425033323447</v>
      </c>
      <c r="N52" s="9">
        <f t="shared" si="3"/>
        <v>1.3582249188757651E-3</v>
      </c>
    </row>
    <row r="53" spans="1:14" x14ac:dyDescent="0.35">
      <c r="A53" s="6">
        <v>45245</v>
      </c>
      <c r="B53" t="s">
        <v>11</v>
      </c>
      <c r="C53" t="s">
        <v>16</v>
      </c>
      <c r="D53" t="s">
        <v>28</v>
      </c>
      <c r="E53" t="s">
        <v>44</v>
      </c>
      <c r="F53" s="4">
        <v>2</v>
      </c>
      <c r="G53" s="4">
        <v>33438.6</v>
      </c>
      <c r="H53" s="4">
        <v>25038.71</v>
      </c>
      <c r="I53" s="8">
        <v>0.1</v>
      </c>
      <c r="J53" s="4">
        <v>8399.89</v>
      </c>
      <c r="K53" s="4" t="str">
        <f t="shared" si="0"/>
        <v>November</v>
      </c>
      <c r="L53">
        <f t="shared" si="1"/>
        <v>11</v>
      </c>
      <c r="M53" s="9">
        <f t="shared" si="2"/>
        <v>0.25120339966386152</v>
      </c>
      <c r="N53" s="9">
        <f t="shared" si="3"/>
        <v>3.0965844589887504E-4</v>
      </c>
    </row>
    <row r="54" spans="1:14" x14ac:dyDescent="0.35">
      <c r="A54" s="6">
        <v>45053</v>
      </c>
      <c r="B54" t="s">
        <v>9</v>
      </c>
      <c r="C54" t="s">
        <v>20</v>
      </c>
      <c r="D54" t="s">
        <v>25</v>
      </c>
      <c r="E54" t="s">
        <v>32</v>
      </c>
      <c r="F54" s="4">
        <v>5</v>
      </c>
      <c r="G54" s="4">
        <v>130868</v>
      </c>
      <c r="H54" s="4">
        <v>74623.320000000007</v>
      </c>
      <c r="I54" s="8">
        <v>0.2</v>
      </c>
      <c r="J54" s="4">
        <v>56244.68</v>
      </c>
      <c r="K54" s="4" t="str">
        <f t="shared" si="0"/>
        <v>May</v>
      </c>
      <c r="L54">
        <f t="shared" si="1"/>
        <v>5</v>
      </c>
      <c r="M54" s="9">
        <f t="shared" si="2"/>
        <v>0.42978176483173886</v>
      </c>
      <c r="N54" s="9">
        <f t="shared" si="3"/>
        <v>1.2119042513111789E-3</v>
      </c>
    </row>
    <row r="55" spans="1:14" x14ac:dyDescent="0.35">
      <c r="A55" s="6">
        <v>45044</v>
      </c>
      <c r="B55" t="s">
        <v>12</v>
      </c>
      <c r="C55" t="s">
        <v>23</v>
      </c>
      <c r="D55" t="s">
        <v>27</v>
      </c>
      <c r="E55" t="s">
        <v>41</v>
      </c>
      <c r="F55" s="4">
        <v>2</v>
      </c>
      <c r="G55" s="4">
        <v>33052.400000000001</v>
      </c>
      <c r="H55" s="4">
        <v>20160.21</v>
      </c>
      <c r="I55" s="8">
        <v>0.05</v>
      </c>
      <c r="J55" s="4">
        <v>12892.19</v>
      </c>
      <c r="K55" s="4" t="str">
        <f t="shared" si="0"/>
        <v>April</v>
      </c>
      <c r="L55">
        <f t="shared" si="1"/>
        <v>4</v>
      </c>
      <c r="M55" s="9">
        <f t="shared" si="2"/>
        <v>0.39005306725078964</v>
      </c>
      <c r="N55" s="9">
        <f t="shared" si="3"/>
        <v>3.0608203744259563E-4</v>
      </c>
    </row>
    <row r="56" spans="1:14" x14ac:dyDescent="0.35">
      <c r="A56" s="6">
        <v>44995</v>
      </c>
      <c r="B56" t="s">
        <v>11</v>
      </c>
      <c r="C56" t="s">
        <v>16</v>
      </c>
      <c r="D56" t="s">
        <v>26</v>
      </c>
      <c r="E56" t="s">
        <v>43</v>
      </c>
      <c r="F56" s="4">
        <v>5</v>
      </c>
      <c r="G56" s="4">
        <v>185808</v>
      </c>
      <c r="H56" s="4">
        <v>136471.19</v>
      </c>
      <c r="I56" s="8">
        <v>0.2</v>
      </c>
      <c r="J56" s="4">
        <v>49336.81</v>
      </c>
      <c r="K56" s="4" t="str">
        <f t="shared" si="0"/>
        <v>March</v>
      </c>
      <c r="L56">
        <f t="shared" si="1"/>
        <v>3</v>
      </c>
      <c r="M56" s="9">
        <f t="shared" si="2"/>
        <v>0.26552575777146298</v>
      </c>
      <c r="N56" s="9">
        <f t="shared" si="3"/>
        <v>1.7206765987684348E-3</v>
      </c>
    </row>
    <row r="57" spans="1:14" x14ac:dyDescent="0.35">
      <c r="A57" s="6">
        <v>45111</v>
      </c>
      <c r="B57" t="s">
        <v>10</v>
      </c>
      <c r="C57" t="s">
        <v>14</v>
      </c>
      <c r="D57" t="s">
        <v>25</v>
      </c>
      <c r="E57" t="s">
        <v>29</v>
      </c>
      <c r="F57" s="4">
        <v>4</v>
      </c>
      <c r="G57" s="4">
        <v>7844.4</v>
      </c>
      <c r="H57" s="4">
        <v>5800.63</v>
      </c>
      <c r="I57" s="8">
        <v>0.1</v>
      </c>
      <c r="J57" s="4">
        <v>2043.77</v>
      </c>
      <c r="K57" s="4" t="str">
        <f t="shared" si="0"/>
        <v>July</v>
      </c>
      <c r="L57">
        <f t="shared" si="1"/>
        <v>7</v>
      </c>
      <c r="M57" s="9">
        <f t="shared" si="2"/>
        <v>0.26053872826474939</v>
      </c>
      <c r="N57" s="9">
        <f t="shared" si="3"/>
        <v>7.2643134371927514E-5</v>
      </c>
    </row>
    <row r="58" spans="1:14" x14ac:dyDescent="0.35">
      <c r="A58" s="6">
        <v>45144</v>
      </c>
      <c r="B58" t="s">
        <v>12</v>
      </c>
      <c r="C58" t="s">
        <v>24</v>
      </c>
      <c r="D58" t="s">
        <v>26</v>
      </c>
      <c r="E58" t="s">
        <v>43</v>
      </c>
      <c r="F58" s="4">
        <v>7</v>
      </c>
      <c r="G58" s="4">
        <v>82086.2</v>
      </c>
      <c r="H58" s="4">
        <v>48745.46</v>
      </c>
      <c r="I58" s="8">
        <v>0.15</v>
      </c>
      <c r="J58" s="4">
        <v>33340.74</v>
      </c>
      <c r="K58" s="4" t="str">
        <f t="shared" si="0"/>
        <v>August</v>
      </c>
      <c r="L58">
        <f t="shared" si="1"/>
        <v>8</v>
      </c>
      <c r="M58" s="9">
        <f t="shared" si="2"/>
        <v>0.40616741912769744</v>
      </c>
      <c r="N58" s="9">
        <f t="shared" si="3"/>
        <v>7.601599684718929E-4</v>
      </c>
    </row>
    <row r="59" spans="1:14" x14ac:dyDescent="0.35">
      <c r="A59" s="6">
        <v>45251</v>
      </c>
      <c r="B59" t="s">
        <v>10</v>
      </c>
      <c r="C59" t="s">
        <v>14</v>
      </c>
      <c r="D59" t="s">
        <v>25</v>
      </c>
      <c r="E59" t="s">
        <v>37</v>
      </c>
      <c r="F59" s="4">
        <v>1</v>
      </c>
      <c r="G59" s="4">
        <v>35834</v>
      </c>
      <c r="H59" s="4">
        <v>25225.79</v>
      </c>
      <c r="I59" s="8">
        <v>0.05</v>
      </c>
      <c r="J59" s="4">
        <v>10608.21</v>
      </c>
      <c r="K59" s="4" t="str">
        <f t="shared" si="0"/>
        <v>November</v>
      </c>
      <c r="L59">
        <f t="shared" si="1"/>
        <v>11</v>
      </c>
      <c r="M59" s="9">
        <f t="shared" si="2"/>
        <v>0.29603756209186805</v>
      </c>
      <c r="N59" s="9">
        <f t="shared" si="3"/>
        <v>3.3184106841615049E-4</v>
      </c>
    </row>
    <row r="60" spans="1:14" x14ac:dyDescent="0.35">
      <c r="A60" s="6">
        <v>45183</v>
      </c>
      <c r="B60" t="s">
        <v>11</v>
      </c>
      <c r="C60" t="s">
        <v>18</v>
      </c>
      <c r="D60" t="s">
        <v>26</v>
      </c>
      <c r="E60" t="s">
        <v>35</v>
      </c>
      <c r="F60" s="4">
        <v>2</v>
      </c>
      <c r="G60" s="4">
        <v>42820.2</v>
      </c>
      <c r="H60" s="4">
        <v>28937.21</v>
      </c>
      <c r="I60" s="8">
        <v>0.1</v>
      </c>
      <c r="J60" s="4">
        <v>13882.99</v>
      </c>
      <c r="K60" s="4" t="str">
        <f t="shared" si="0"/>
        <v>September</v>
      </c>
      <c r="L60">
        <f t="shared" si="1"/>
        <v>9</v>
      </c>
      <c r="M60" s="9">
        <f t="shared" si="2"/>
        <v>0.3242159074455514</v>
      </c>
      <c r="N60" s="9">
        <f t="shared" si="3"/>
        <v>3.9653683422987237E-4</v>
      </c>
    </row>
    <row r="61" spans="1:14" x14ac:dyDescent="0.35">
      <c r="A61" s="6">
        <v>45086</v>
      </c>
      <c r="B61" t="s">
        <v>11</v>
      </c>
      <c r="C61" t="s">
        <v>16</v>
      </c>
      <c r="D61" t="s">
        <v>27</v>
      </c>
      <c r="E61" t="s">
        <v>31</v>
      </c>
      <c r="F61" s="4">
        <v>7</v>
      </c>
      <c r="G61" s="4">
        <v>220339</v>
      </c>
      <c r="H61" s="4">
        <v>168955.89</v>
      </c>
      <c r="I61" s="8">
        <v>0</v>
      </c>
      <c r="J61" s="4">
        <v>51383.11</v>
      </c>
      <c r="K61" s="4" t="str">
        <f t="shared" si="0"/>
        <v>June</v>
      </c>
      <c r="L61">
        <f t="shared" si="1"/>
        <v>6</v>
      </c>
      <c r="M61" s="9">
        <f t="shared" si="2"/>
        <v>0.23320025052305765</v>
      </c>
      <c r="N61" s="9">
        <f t="shared" si="3"/>
        <v>2.0404512243608354E-3</v>
      </c>
    </row>
    <row r="62" spans="1:14" x14ac:dyDescent="0.35">
      <c r="A62" s="6">
        <v>45027</v>
      </c>
      <c r="B62" t="s">
        <v>9</v>
      </c>
      <c r="C62" t="s">
        <v>20</v>
      </c>
      <c r="D62" t="s">
        <v>25</v>
      </c>
      <c r="E62" t="s">
        <v>37</v>
      </c>
      <c r="F62" s="4">
        <v>1</v>
      </c>
      <c r="G62" s="4">
        <v>3600</v>
      </c>
      <c r="H62" s="4">
        <v>2471.06</v>
      </c>
      <c r="I62" s="8">
        <v>0.2</v>
      </c>
      <c r="J62" s="4">
        <v>1128.94</v>
      </c>
      <c r="K62" s="4" t="str">
        <f t="shared" si="0"/>
        <v>April</v>
      </c>
      <c r="L62">
        <f t="shared" si="1"/>
        <v>4</v>
      </c>
      <c r="M62" s="9">
        <f t="shared" si="2"/>
        <v>0.31359444444444445</v>
      </c>
      <c r="N62" s="9">
        <f t="shared" si="3"/>
        <v>3.3337831285877709E-5</v>
      </c>
    </row>
    <row r="63" spans="1:14" x14ac:dyDescent="0.35">
      <c r="A63" s="6">
        <v>44938</v>
      </c>
      <c r="B63" t="s">
        <v>11</v>
      </c>
      <c r="C63" t="s">
        <v>17</v>
      </c>
      <c r="D63" t="s">
        <v>27</v>
      </c>
      <c r="E63" t="s">
        <v>38</v>
      </c>
      <c r="F63" s="4">
        <v>2</v>
      </c>
      <c r="G63" s="4">
        <v>30515</v>
      </c>
      <c r="H63" s="4">
        <v>18873.23</v>
      </c>
      <c r="I63" s="8">
        <v>0.15</v>
      </c>
      <c r="J63" s="4">
        <v>11641.77</v>
      </c>
      <c r="K63" s="4" t="str">
        <f t="shared" si="0"/>
        <v>January</v>
      </c>
      <c r="L63">
        <f t="shared" si="1"/>
        <v>1</v>
      </c>
      <c r="M63" s="9">
        <f t="shared" si="2"/>
        <v>0.38150974930362119</v>
      </c>
      <c r="N63" s="9">
        <f t="shared" si="3"/>
        <v>2.8258442269126616E-4</v>
      </c>
    </row>
    <row r="64" spans="1:14" x14ac:dyDescent="0.35">
      <c r="A64" s="6">
        <v>45019</v>
      </c>
      <c r="B64" t="s">
        <v>9</v>
      </c>
      <c r="C64" t="s">
        <v>20</v>
      </c>
      <c r="D64" t="s">
        <v>28</v>
      </c>
      <c r="E64" t="s">
        <v>39</v>
      </c>
      <c r="F64" s="4">
        <v>3</v>
      </c>
      <c r="G64" s="4">
        <v>106050</v>
      </c>
      <c r="H64" s="4">
        <v>75712.350000000006</v>
      </c>
      <c r="I64" s="8">
        <v>0</v>
      </c>
      <c r="J64" s="4">
        <v>30337.65</v>
      </c>
      <c r="K64" s="4" t="str">
        <f t="shared" si="0"/>
        <v>April</v>
      </c>
      <c r="L64">
        <f t="shared" si="1"/>
        <v>4</v>
      </c>
      <c r="M64" s="9">
        <f t="shared" si="2"/>
        <v>0.2860693069306931</v>
      </c>
      <c r="N64" s="9">
        <f t="shared" si="3"/>
        <v>9.8207694662981416E-4</v>
      </c>
    </row>
    <row r="65" spans="1:14" x14ac:dyDescent="0.35">
      <c r="A65" s="6">
        <v>45040</v>
      </c>
      <c r="B65" t="s">
        <v>10</v>
      </c>
      <c r="C65" t="s">
        <v>19</v>
      </c>
      <c r="D65" t="s">
        <v>28</v>
      </c>
      <c r="E65" t="s">
        <v>36</v>
      </c>
      <c r="F65" s="4">
        <v>2</v>
      </c>
      <c r="G65" s="4">
        <v>71529.2</v>
      </c>
      <c r="H65" s="4">
        <v>51731.53</v>
      </c>
      <c r="I65" s="8">
        <v>0.15</v>
      </c>
      <c r="J65" s="4">
        <v>19797.669999999998</v>
      </c>
      <c r="K65" s="4" t="str">
        <f t="shared" si="0"/>
        <v>April</v>
      </c>
      <c r="L65">
        <f t="shared" si="1"/>
        <v>4</v>
      </c>
      <c r="M65" s="9">
        <f t="shared" si="2"/>
        <v>0.27677745592009972</v>
      </c>
      <c r="N65" s="9">
        <f t="shared" si="3"/>
        <v>6.6239677822605651E-4</v>
      </c>
    </row>
    <row r="66" spans="1:14" x14ac:dyDescent="0.35">
      <c r="A66" s="6">
        <v>45090</v>
      </c>
      <c r="B66" t="s">
        <v>12</v>
      </c>
      <c r="C66" t="s">
        <v>21</v>
      </c>
      <c r="D66" t="s">
        <v>27</v>
      </c>
      <c r="E66" t="s">
        <v>31</v>
      </c>
      <c r="F66" s="4">
        <v>4</v>
      </c>
      <c r="G66" s="4">
        <v>108787.2</v>
      </c>
      <c r="H66" s="4">
        <v>86148.05</v>
      </c>
      <c r="I66" s="8">
        <v>0.2</v>
      </c>
      <c r="J66" s="4">
        <v>22639.15</v>
      </c>
      <c r="K66" s="4" t="str">
        <f t="shared" si="0"/>
        <v>June</v>
      </c>
      <c r="L66">
        <f t="shared" si="1"/>
        <v>6</v>
      </c>
      <c r="M66" s="9">
        <f t="shared" si="2"/>
        <v>0.20810490572420287</v>
      </c>
      <c r="N66" s="9">
        <f t="shared" si="3"/>
        <v>1.0074248110175097E-3</v>
      </c>
    </row>
    <row r="67" spans="1:14" x14ac:dyDescent="0.35">
      <c r="A67" s="6">
        <v>45022</v>
      </c>
      <c r="B67" t="s">
        <v>10</v>
      </c>
      <c r="C67" t="s">
        <v>14</v>
      </c>
      <c r="D67" t="s">
        <v>27</v>
      </c>
      <c r="E67" t="s">
        <v>31</v>
      </c>
      <c r="F67" s="4">
        <v>3</v>
      </c>
      <c r="G67" s="4">
        <v>133153.20000000001</v>
      </c>
      <c r="H67" s="4">
        <v>86969.600000000006</v>
      </c>
      <c r="I67" s="8">
        <v>0.1</v>
      </c>
      <c r="J67" s="4">
        <v>46183.6</v>
      </c>
      <c r="K67" s="4" t="str">
        <f t="shared" ref="K67:K130" si="4">TEXT(A67,"mmmm")</f>
        <v>April</v>
      </c>
      <c r="L67">
        <f t="shared" ref="L67:L130" si="5">MONTH(A67)</f>
        <v>4</v>
      </c>
      <c r="M67" s="9">
        <f t="shared" ref="M67:M130" si="6">J67/G67</f>
        <v>0.34684558838991475</v>
      </c>
      <c r="N67" s="9">
        <f t="shared" ref="N67:N130" si="7">G67/SUM(G:G)</f>
        <v>1.2330663657707588E-3</v>
      </c>
    </row>
    <row r="68" spans="1:14" x14ac:dyDescent="0.35">
      <c r="A68" s="6">
        <v>45205</v>
      </c>
      <c r="B68" t="s">
        <v>11</v>
      </c>
      <c r="C68" t="s">
        <v>17</v>
      </c>
      <c r="D68" t="s">
        <v>28</v>
      </c>
      <c r="E68" t="s">
        <v>44</v>
      </c>
      <c r="F68" s="4">
        <v>5</v>
      </c>
      <c r="G68" s="4">
        <v>226555</v>
      </c>
      <c r="H68" s="4">
        <v>163110.81</v>
      </c>
      <c r="I68" s="8">
        <v>0</v>
      </c>
      <c r="J68" s="4">
        <v>63444.19</v>
      </c>
      <c r="K68" s="4" t="str">
        <f t="shared" si="4"/>
        <v>October</v>
      </c>
      <c r="L68">
        <f t="shared" si="5"/>
        <v>10</v>
      </c>
      <c r="M68" s="9">
        <f t="shared" si="6"/>
        <v>0.28003879852574431</v>
      </c>
      <c r="N68" s="9">
        <f t="shared" si="7"/>
        <v>2.0980145463811179E-3</v>
      </c>
    </row>
    <row r="69" spans="1:14" x14ac:dyDescent="0.35">
      <c r="A69" s="6">
        <v>45268</v>
      </c>
      <c r="B69" t="s">
        <v>12</v>
      </c>
      <c r="C69" t="s">
        <v>21</v>
      </c>
      <c r="D69" t="s">
        <v>27</v>
      </c>
      <c r="E69" t="s">
        <v>41</v>
      </c>
      <c r="F69" s="4">
        <v>1</v>
      </c>
      <c r="G69" s="4">
        <v>38600.199999999997</v>
      </c>
      <c r="H69" s="4">
        <v>29205.47</v>
      </c>
      <c r="I69" s="8">
        <v>0.15</v>
      </c>
      <c r="J69" s="4">
        <v>9394.73</v>
      </c>
      <c r="K69" s="4" t="str">
        <f t="shared" si="4"/>
        <v>December</v>
      </c>
      <c r="L69">
        <f t="shared" si="5"/>
        <v>12</v>
      </c>
      <c r="M69" s="9">
        <f t="shared" si="6"/>
        <v>0.2433855264998627</v>
      </c>
      <c r="N69" s="9">
        <f t="shared" si="7"/>
        <v>3.5745748755587126E-4</v>
      </c>
    </row>
    <row r="70" spans="1:14" x14ac:dyDescent="0.35">
      <c r="A70" s="6">
        <v>45002</v>
      </c>
      <c r="B70" t="s">
        <v>12</v>
      </c>
      <c r="C70" t="s">
        <v>21</v>
      </c>
      <c r="D70" t="s">
        <v>25</v>
      </c>
      <c r="E70" t="s">
        <v>33</v>
      </c>
      <c r="F70" s="4">
        <v>4</v>
      </c>
      <c r="G70" s="4">
        <v>55292.800000000003</v>
      </c>
      <c r="H70" s="4">
        <v>42926.32</v>
      </c>
      <c r="I70" s="8">
        <v>0.2</v>
      </c>
      <c r="J70" s="4">
        <v>12366.48</v>
      </c>
      <c r="K70" s="4" t="str">
        <f t="shared" si="4"/>
        <v>March</v>
      </c>
      <c r="L70">
        <f t="shared" si="5"/>
        <v>3</v>
      </c>
      <c r="M70" s="9">
        <f t="shared" si="6"/>
        <v>0.22365443602060303</v>
      </c>
      <c r="N70" s="9">
        <f t="shared" si="7"/>
        <v>5.1203945492327195E-4</v>
      </c>
    </row>
    <row r="71" spans="1:14" x14ac:dyDescent="0.35">
      <c r="A71" s="6">
        <v>45070</v>
      </c>
      <c r="B71" t="s">
        <v>12</v>
      </c>
      <c r="C71" t="s">
        <v>21</v>
      </c>
      <c r="D71" t="s">
        <v>26</v>
      </c>
      <c r="E71" t="s">
        <v>34</v>
      </c>
      <c r="F71" s="4">
        <v>7</v>
      </c>
      <c r="G71" s="4">
        <v>206684.1</v>
      </c>
      <c r="H71" s="4">
        <v>139151.4</v>
      </c>
      <c r="I71" s="8">
        <v>0.1</v>
      </c>
      <c r="J71" s="4">
        <v>67532.7</v>
      </c>
      <c r="K71" s="4" t="str">
        <f t="shared" si="4"/>
        <v>May</v>
      </c>
      <c r="L71">
        <f t="shared" si="5"/>
        <v>5</v>
      </c>
      <c r="M71" s="9">
        <f t="shared" si="6"/>
        <v>0.32674356663139542</v>
      </c>
      <c r="N71" s="9">
        <f t="shared" si="7"/>
        <v>1.9139999042426324E-3</v>
      </c>
    </row>
    <row r="72" spans="1:14" x14ac:dyDescent="0.35">
      <c r="A72" s="6">
        <v>44979</v>
      </c>
      <c r="B72" t="s">
        <v>12</v>
      </c>
      <c r="C72" t="s">
        <v>23</v>
      </c>
      <c r="D72" t="s">
        <v>25</v>
      </c>
      <c r="E72" t="s">
        <v>37</v>
      </c>
      <c r="F72" s="4">
        <v>1</v>
      </c>
      <c r="G72" s="4">
        <v>28950.3</v>
      </c>
      <c r="H72" s="4">
        <v>17462.3</v>
      </c>
      <c r="I72" s="8">
        <v>0.1</v>
      </c>
      <c r="J72" s="4">
        <v>11488</v>
      </c>
      <c r="K72" s="4" t="str">
        <f t="shared" si="4"/>
        <v>February</v>
      </c>
      <c r="L72">
        <f t="shared" si="5"/>
        <v>2</v>
      </c>
      <c r="M72" s="9">
        <f t="shared" si="6"/>
        <v>0.39681799497759956</v>
      </c>
      <c r="N72" s="9">
        <f t="shared" si="7"/>
        <v>2.6809450474320705E-4</v>
      </c>
    </row>
    <row r="73" spans="1:14" x14ac:dyDescent="0.35">
      <c r="A73" s="6">
        <v>45149</v>
      </c>
      <c r="B73" t="s">
        <v>9</v>
      </c>
      <c r="C73" t="s">
        <v>13</v>
      </c>
      <c r="D73" t="s">
        <v>25</v>
      </c>
      <c r="E73" t="s">
        <v>33</v>
      </c>
      <c r="F73" s="4">
        <v>5</v>
      </c>
      <c r="G73" s="4">
        <v>104713.75</v>
      </c>
      <c r="H73" s="4">
        <v>59099.360000000001</v>
      </c>
      <c r="I73" s="8">
        <v>0.05</v>
      </c>
      <c r="J73" s="4">
        <v>45614.39</v>
      </c>
      <c r="K73" s="4" t="str">
        <f t="shared" si="4"/>
        <v>August</v>
      </c>
      <c r="L73">
        <f t="shared" si="5"/>
        <v>8</v>
      </c>
      <c r="M73" s="9">
        <f t="shared" si="6"/>
        <v>0.4356103186066777</v>
      </c>
      <c r="N73" s="9">
        <f t="shared" si="7"/>
        <v>9.6970259189210458E-4</v>
      </c>
    </row>
    <row r="74" spans="1:14" x14ac:dyDescent="0.35">
      <c r="A74" s="6">
        <v>45002</v>
      </c>
      <c r="B74" t="s">
        <v>10</v>
      </c>
      <c r="C74" t="s">
        <v>14</v>
      </c>
      <c r="D74" t="s">
        <v>25</v>
      </c>
      <c r="E74" t="s">
        <v>29</v>
      </c>
      <c r="F74" s="4">
        <v>5</v>
      </c>
      <c r="G74" s="4">
        <v>169191</v>
      </c>
      <c r="H74" s="4">
        <v>98006.720000000001</v>
      </c>
      <c r="I74" s="8">
        <v>0.1</v>
      </c>
      <c r="J74" s="4">
        <v>71184.28</v>
      </c>
      <c r="K74" s="4" t="str">
        <f t="shared" si="4"/>
        <v>March</v>
      </c>
      <c r="L74">
        <f t="shared" si="5"/>
        <v>3</v>
      </c>
      <c r="M74" s="9">
        <f t="shared" si="6"/>
        <v>0.42073325413290302</v>
      </c>
      <c r="N74" s="9">
        <f t="shared" si="7"/>
        <v>1.5667947258580376E-3</v>
      </c>
    </row>
    <row r="75" spans="1:14" x14ac:dyDescent="0.35">
      <c r="A75" s="6">
        <v>45209</v>
      </c>
      <c r="B75" t="s">
        <v>12</v>
      </c>
      <c r="C75" t="s">
        <v>24</v>
      </c>
      <c r="D75" t="s">
        <v>28</v>
      </c>
      <c r="E75" t="s">
        <v>44</v>
      </c>
      <c r="F75" s="4">
        <v>1</v>
      </c>
      <c r="G75" s="4">
        <v>9612.7999999999993</v>
      </c>
      <c r="H75" s="4">
        <v>5821.94</v>
      </c>
      <c r="I75" s="8">
        <v>0.2</v>
      </c>
      <c r="J75" s="4">
        <v>3790.86</v>
      </c>
      <c r="K75" s="4" t="str">
        <f t="shared" si="4"/>
        <v>October</v>
      </c>
      <c r="L75">
        <f t="shared" si="5"/>
        <v>10</v>
      </c>
      <c r="M75" s="9">
        <f t="shared" si="6"/>
        <v>0.39435544274300938</v>
      </c>
      <c r="N75" s="9">
        <f t="shared" si="7"/>
        <v>8.9019417940245884E-5</v>
      </c>
    </row>
    <row r="76" spans="1:14" x14ac:dyDescent="0.35">
      <c r="A76" s="6">
        <v>45071</v>
      </c>
      <c r="B76" t="s">
        <v>10</v>
      </c>
      <c r="C76" t="s">
        <v>19</v>
      </c>
      <c r="D76" t="s">
        <v>27</v>
      </c>
      <c r="E76" t="s">
        <v>38</v>
      </c>
      <c r="F76" s="4">
        <v>5</v>
      </c>
      <c r="G76" s="4">
        <v>109848</v>
      </c>
      <c r="H76" s="4">
        <v>70594.97</v>
      </c>
      <c r="I76" s="8">
        <v>0.2</v>
      </c>
      <c r="J76" s="4">
        <v>39253.03</v>
      </c>
      <c r="K76" s="4" t="str">
        <f t="shared" si="4"/>
        <v>May</v>
      </c>
      <c r="L76">
        <f t="shared" si="5"/>
        <v>5</v>
      </c>
      <c r="M76" s="9">
        <f t="shared" si="6"/>
        <v>0.35733950549850702</v>
      </c>
      <c r="N76" s="9">
        <f t="shared" si="7"/>
        <v>1.0172483586364152E-3</v>
      </c>
    </row>
    <row r="77" spans="1:14" x14ac:dyDescent="0.35">
      <c r="A77" s="6">
        <v>45290</v>
      </c>
      <c r="B77" t="s">
        <v>9</v>
      </c>
      <c r="C77" t="s">
        <v>15</v>
      </c>
      <c r="D77" t="s">
        <v>27</v>
      </c>
      <c r="E77" t="s">
        <v>38</v>
      </c>
      <c r="F77" s="4">
        <v>4</v>
      </c>
      <c r="G77" s="4">
        <v>123790.6</v>
      </c>
      <c r="H77" s="4">
        <v>70668.98</v>
      </c>
      <c r="I77" s="8">
        <v>0.15</v>
      </c>
      <c r="J77" s="4">
        <v>53121.62</v>
      </c>
      <c r="K77" s="4" t="str">
        <f t="shared" si="4"/>
        <v>December</v>
      </c>
      <c r="L77">
        <f t="shared" si="5"/>
        <v>12</v>
      </c>
      <c r="M77" s="9">
        <f t="shared" si="6"/>
        <v>0.42912482854110084</v>
      </c>
      <c r="N77" s="9">
        <f t="shared" si="7"/>
        <v>1.1463639271048814E-3</v>
      </c>
    </row>
    <row r="78" spans="1:14" x14ac:dyDescent="0.35">
      <c r="A78" s="6">
        <v>45168</v>
      </c>
      <c r="B78" t="s">
        <v>10</v>
      </c>
      <c r="C78" t="s">
        <v>22</v>
      </c>
      <c r="D78" t="s">
        <v>25</v>
      </c>
      <c r="E78" t="s">
        <v>32</v>
      </c>
      <c r="F78" s="4">
        <v>2</v>
      </c>
      <c r="G78" s="4">
        <v>51620.4</v>
      </c>
      <c r="H78" s="4">
        <v>31665.01</v>
      </c>
      <c r="I78" s="8">
        <v>0.1</v>
      </c>
      <c r="J78" s="4">
        <v>19955.39</v>
      </c>
      <c r="K78" s="4" t="str">
        <f t="shared" si="4"/>
        <v>August</v>
      </c>
      <c r="L78">
        <f t="shared" si="5"/>
        <v>8</v>
      </c>
      <c r="M78" s="9">
        <f t="shared" si="6"/>
        <v>0.38657953057318423</v>
      </c>
      <c r="N78" s="9">
        <f t="shared" si="7"/>
        <v>4.7803116280820042E-4</v>
      </c>
    </row>
    <row r="79" spans="1:14" x14ac:dyDescent="0.35">
      <c r="A79" s="6">
        <v>45274</v>
      </c>
      <c r="B79" t="s">
        <v>11</v>
      </c>
      <c r="C79" t="s">
        <v>18</v>
      </c>
      <c r="D79" t="s">
        <v>28</v>
      </c>
      <c r="E79" t="s">
        <v>44</v>
      </c>
      <c r="F79" s="4">
        <v>4</v>
      </c>
      <c r="G79" s="4">
        <v>54464</v>
      </c>
      <c r="H79" s="4">
        <v>40088.39</v>
      </c>
      <c r="I79" s="8">
        <v>0</v>
      </c>
      <c r="J79" s="4">
        <v>14375.61</v>
      </c>
      <c r="K79" s="4" t="str">
        <f t="shared" si="4"/>
        <v>December</v>
      </c>
      <c r="L79">
        <f t="shared" si="5"/>
        <v>12</v>
      </c>
      <c r="M79" s="9">
        <f t="shared" si="6"/>
        <v>0.26394701086956524</v>
      </c>
      <c r="N79" s="9">
        <f t="shared" si="7"/>
        <v>5.0436434532056759E-4</v>
      </c>
    </row>
    <row r="80" spans="1:14" x14ac:dyDescent="0.35">
      <c r="A80" s="6">
        <v>45060</v>
      </c>
      <c r="B80" t="s">
        <v>10</v>
      </c>
      <c r="C80" t="s">
        <v>14</v>
      </c>
      <c r="D80" t="s">
        <v>25</v>
      </c>
      <c r="E80" t="s">
        <v>37</v>
      </c>
      <c r="F80" s="4">
        <v>1</v>
      </c>
      <c r="G80" s="4">
        <v>24460</v>
      </c>
      <c r="H80" s="4">
        <v>14820.29</v>
      </c>
      <c r="I80" s="8">
        <v>0</v>
      </c>
      <c r="J80" s="4">
        <v>9639.7099999999991</v>
      </c>
      <c r="K80" s="4" t="str">
        <f t="shared" si="4"/>
        <v>May</v>
      </c>
      <c r="L80">
        <f t="shared" si="5"/>
        <v>5</v>
      </c>
      <c r="M80" s="9">
        <f t="shared" si="6"/>
        <v>0.39410098119378573</v>
      </c>
      <c r="N80" s="9">
        <f t="shared" si="7"/>
        <v>2.2651204257015796E-4</v>
      </c>
    </row>
    <row r="81" spans="1:14" x14ac:dyDescent="0.35">
      <c r="A81" s="6">
        <v>45139</v>
      </c>
      <c r="B81" t="s">
        <v>10</v>
      </c>
      <c r="C81" t="s">
        <v>14</v>
      </c>
      <c r="D81" t="s">
        <v>26</v>
      </c>
      <c r="E81" t="s">
        <v>43</v>
      </c>
      <c r="F81" s="4">
        <v>5</v>
      </c>
      <c r="G81" s="4">
        <v>152712</v>
      </c>
      <c r="H81" s="4">
        <v>85648.56</v>
      </c>
      <c r="I81" s="8">
        <v>0.2</v>
      </c>
      <c r="J81" s="4">
        <v>67063.44</v>
      </c>
      <c r="K81" s="4" t="str">
        <f t="shared" si="4"/>
        <v>August</v>
      </c>
      <c r="L81">
        <f t="shared" si="5"/>
        <v>8</v>
      </c>
      <c r="M81" s="9">
        <f t="shared" si="6"/>
        <v>0.43914977212006917</v>
      </c>
      <c r="N81" s="9">
        <f t="shared" si="7"/>
        <v>1.4141908031469323E-3</v>
      </c>
    </row>
    <row r="82" spans="1:14" x14ac:dyDescent="0.35">
      <c r="A82" s="6">
        <v>45159</v>
      </c>
      <c r="B82" t="s">
        <v>9</v>
      </c>
      <c r="C82" t="s">
        <v>13</v>
      </c>
      <c r="D82" t="s">
        <v>26</v>
      </c>
      <c r="E82" t="s">
        <v>35</v>
      </c>
      <c r="F82" s="4">
        <v>3</v>
      </c>
      <c r="G82" s="4">
        <v>43029</v>
      </c>
      <c r="H82" s="4">
        <v>29293.040000000001</v>
      </c>
      <c r="I82" s="8">
        <v>0</v>
      </c>
      <c r="J82" s="4">
        <v>13735.96</v>
      </c>
      <c r="K82" s="4" t="str">
        <f t="shared" si="4"/>
        <v>August</v>
      </c>
      <c r="L82">
        <f t="shared" si="5"/>
        <v>8</v>
      </c>
      <c r="M82" s="9">
        <f t="shared" si="6"/>
        <v>0.31922563852285668</v>
      </c>
      <c r="N82" s="9">
        <f t="shared" si="7"/>
        <v>3.9847042844445331E-4</v>
      </c>
    </row>
    <row r="83" spans="1:14" x14ac:dyDescent="0.35">
      <c r="A83" s="6">
        <v>44938</v>
      </c>
      <c r="B83" t="s">
        <v>12</v>
      </c>
      <c r="C83" t="s">
        <v>24</v>
      </c>
      <c r="D83" t="s">
        <v>25</v>
      </c>
      <c r="E83" t="s">
        <v>29</v>
      </c>
      <c r="F83" s="4">
        <v>1</v>
      </c>
      <c r="G83" s="4">
        <v>38570.400000000001</v>
      </c>
      <c r="H83" s="4">
        <v>29903.23</v>
      </c>
      <c r="I83" s="8">
        <v>0.1</v>
      </c>
      <c r="J83" s="4">
        <v>8667.17</v>
      </c>
      <c r="K83" s="4" t="str">
        <f t="shared" si="4"/>
        <v>January</v>
      </c>
      <c r="L83">
        <f t="shared" si="5"/>
        <v>1</v>
      </c>
      <c r="M83" s="9">
        <f t="shared" si="6"/>
        <v>0.22471039968473233</v>
      </c>
      <c r="N83" s="9">
        <f t="shared" si="7"/>
        <v>3.5718152439689378E-4</v>
      </c>
    </row>
    <row r="84" spans="1:14" x14ac:dyDescent="0.35">
      <c r="A84" s="6">
        <v>45016</v>
      </c>
      <c r="B84" t="s">
        <v>10</v>
      </c>
      <c r="C84" t="s">
        <v>19</v>
      </c>
      <c r="D84" t="s">
        <v>26</v>
      </c>
      <c r="E84" t="s">
        <v>30</v>
      </c>
      <c r="F84" s="4">
        <v>4</v>
      </c>
      <c r="G84" s="4">
        <v>114771.4</v>
      </c>
      <c r="H84" s="4">
        <v>68522</v>
      </c>
      <c r="I84" s="8">
        <v>0.05</v>
      </c>
      <c r="J84" s="4">
        <v>46249.4</v>
      </c>
      <c r="K84" s="4" t="str">
        <f t="shared" si="4"/>
        <v>March</v>
      </c>
      <c r="L84">
        <f t="shared" si="5"/>
        <v>3</v>
      </c>
      <c r="M84" s="9">
        <f t="shared" si="6"/>
        <v>0.40296972939251419</v>
      </c>
      <c r="N84" s="9">
        <f t="shared" si="7"/>
        <v>1.062841547123329E-3</v>
      </c>
    </row>
    <row r="85" spans="1:14" x14ac:dyDescent="0.35">
      <c r="A85" s="6">
        <v>45118</v>
      </c>
      <c r="B85" t="s">
        <v>11</v>
      </c>
      <c r="C85" t="s">
        <v>18</v>
      </c>
      <c r="D85" t="s">
        <v>26</v>
      </c>
      <c r="E85" t="s">
        <v>34</v>
      </c>
      <c r="F85" s="4">
        <v>4</v>
      </c>
      <c r="G85" s="4">
        <v>89136</v>
      </c>
      <c r="H85" s="4">
        <v>70738.210000000006</v>
      </c>
      <c r="I85" s="8">
        <v>0.2</v>
      </c>
      <c r="J85" s="4">
        <v>18397.79</v>
      </c>
      <c r="K85" s="4" t="str">
        <f t="shared" si="4"/>
        <v>July</v>
      </c>
      <c r="L85">
        <f t="shared" si="5"/>
        <v>7</v>
      </c>
      <c r="M85" s="9">
        <f t="shared" si="6"/>
        <v>0.20640134176987973</v>
      </c>
      <c r="N85" s="9">
        <f t="shared" si="7"/>
        <v>8.2544470263833201E-4</v>
      </c>
    </row>
    <row r="86" spans="1:14" x14ac:dyDescent="0.35">
      <c r="A86" s="6">
        <v>45146</v>
      </c>
      <c r="B86" t="s">
        <v>9</v>
      </c>
      <c r="C86" t="s">
        <v>20</v>
      </c>
      <c r="D86" t="s">
        <v>25</v>
      </c>
      <c r="E86" t="s">
        <v>33</v>
      </c>
      <c r="F86" s="4">
        <v>1</v>
      </c>
      <c r="G86" s="4">
        <v>10972.8</v>
      </c>
      <c r="H86" s="4">
        <v>8267.44</v>
      </c>
      <c r="I86" s="8">
        <v>0.2</v>
      </c>
      <c r="J86" s="4">
        <v>2705.36</v>
      </c>
      <c r="K86" s="4" t="str">
        <f t="shared" si="4"/>
        <v>August</v>
      </c>
      <c r="L86">
        <f t="shared" si="5"/>
        <v>8</v>
      </c>
      <c r="M86" s="9">
        <f t="shared" si="6"/>
        <v>0.24655147273257513</v>
      </c>
      <c r="N86" s="9">
        <f t="shared" si="7"/>
        <v>1.0161370975935524E-4</v>
      </c>
    </row>
    <row r="87" spans="1:14" x14ac:dyDescent="0.35">
      <c r="A87" s="6">
        <v>45123</v>
      </c>
      <c r="B87" t="s">
        <v>11</v>
      </c>
      <c r="C87" t="s">
        <v>16</v>
      </c>
      <c r="D87" t="s">
        <v>27</v>
      </c>
      <c r="E87" t="s">
        <v>41</v>
      </c>
      <c r="F87" s="4">
        <v>3</v>
      </c>
      <c r="G87" s="4">
        <v>130943.25</v>
      </c>
      <c r="H87" s="4">
        <v>85657.81</v>
      </c>
      <c r="I87" s="8">
        <v>0.05</v>
      </c>
      <c r="J87" s="4">
        <v>45285.440000000002</v>
      </c>
      <c r="K87" s="4" t="str">
        <f t="shared" si="4"/>
        <v>July</v>
      </c>
      <c r="L87">
        <f t="shared" si="5"/>
        <v>7</v>
      </c>
      <c r="M87" s="9">
        <f t="shared" si="6"/>
        <v>0.34584020176679592</v>
      </c>
      <c r="N87" s="9">
        <f t="shared" si="7"/>
        <v>1.2126011045901406E-3</v>
      </c>
    </row>
    <row r="88" spans="1:14" x14ac:dyDescent="0.35">
      <c r="A88" s="6">
        <v>45045</v>
      </c>
      <c r="B88" t="s">
        <v>9</v>
      </c>
      <c r="C88" t="s">
        <v>13</v>
      </c>
      <c r="D88" t="s">
        <v>28</v>
      </c>
      <c r="E88" t="s">
        <v>36</v>
      </c>
      <c r="F88" s="4">
        <v>6</v>
      </c>
      <c r="G88" s="4">
        <v>131182.20000000001</v>
      </c>
      <c r="H88" s="4">
        <v>73633.179999999993</v>
      </c>
      <c r="I88" s="8">
        <v>0.1</v>
      </c>
      <c r="J88" s="4">
        <v>57549.02</v>
      </c>
      <c r="K88" s="4" t="str">
        <f t="shared" si="4"/>
        <v>April</v>
      </c>
      <c r="L88">
        <f t="shared" si="5"/>
        <v>4</v>
      </c>
      <c r="M88" s="9">
        <f t="shared" si="6"/>
        <v>0.43869534128868087</v>
      </c>
      <c r="N88" s="9">
        <f t="shared" si="7"/>
        <v>1.2148139031417408E-3</v>
      </c>
    </row>
    <row r="89" spans="1:14" x14ac:dyDescent="0.35">
      <c r="A89" s="6">
        <v>45208</v>
      </c>
      <c r="B89" t="s">
        <v>11</v>
      </c>
      <c r="C89" t="s">
        <v>16</v>
      </c>
      <c r="D89" t="s">
        <v>28</v>
      </c>
      <c r="E89" t="s">
        <v>39</v>
      </c>
      <c r="F89" s="4">
        <v>2</v>
      </c>
      <c r="G89" s="4">
        <v>17830</v>
      </c>
      <c r="H89" s="4">
        <v>11485.81</v>
      </c>
      <c r="I89" s="8">
        <v>0</v>
      </c>
      <c r="J89" s="4">
        <v>6344.19</v>
      </c>
      <c r="K89" s="4" t="str">
        <f t="shared" si="4"/>
        <v>October</v>
      </c>
      <c r="L89">
        <f t="shared" si="5"/>
        <v>10</v>
      </c>
      <c r="M89" s="9">
        <f t="shared" si="6"/>
        <v>0.35581547952888387</v>
      </c>
      <c r="N89" s="9">
        <f t="shared" si="7"/>
        <v>1.6511486995199987E-4</v>
      </c>
    </row>
    <row r="90" spans="1:14" x14ac:dyDescent="0.35">
      <c r="A90" s="6">
        <v>45031</v>
      </c>
      <c r="B90" t="s">
        <v>9</v>
      </c>
      <c r="C90" t="s">
        <v>13</v>
      </c>
      <c r="D90" t="s">
        <v>28</v>
      </c>
      <c r="E90" t="s">
        <v>42</v>
      </c>
      <c r="F90" s="4">
        <v>3</v>
      </c>
      <c r="G90" s="4">
        <v>52003.199999999997</v>
      </c>
      <c r="H90" s="4">
        <v>29427.46</v>
      </c>
      <c r="I90" s="8">
        <v>0.2</v>
      </c>
      <c r="J90" s="4">
        <v>22575.74</v>
      </c>
      <c r="K90" s="4" t="str">
        <f t="shared" si="4"/>
        <v>April</v>
      </c>
      <c r="L90">
        <f t="shared" si="5"/>
        <v>4</v>
      </c>
      <c r="M90" s="9">
        <f t="shared" si="6"/>
        <v>0.434122130945788</v>
      </c>
      <c r="N90" s="9">
        <f t="shared" si="7"/>
        <v>4.8157608553493205E-4</v>
      </c>
    </row>
    <row r="91" spans="1:14" x14ac:dyDescent="0.35">
      <c r="A91" s="6">
        <v>45277</v>
      </c>
      <c r="B91" t="s">
        <v>9</v>
      </c>
      <c r="C91" t="s">
        <v>15</v>
      </c>
      <c r="D91" t="s">
        <v>27</v>
      </c>
      <c r="E91" t="s">
        <v>38</v>
      </c>
      <c r="F91" s="4">
        <v>7</v>
      </c>
      <c r="G91" s="4">
        <v>176649.55</v>
      </c>
      <c r="H91" s="4">
        <v>133056.9</v>
      </c>
      <c r="I91" s="8">
        <v>0.15</v>
      </c>
      <c r="J91" s="4">
        <v>43592.65</v>
      </c>
      <c r="K91" s="4" t="str">
        <f t="shared" si="4"/>
        <v>December</v>
      </c>
      <c r="L91">
        <f t="shared" si="5"/>
        <v>12</v>
      </c>
      <c r="M91" s="9">
        <f t="shared" si="6"/>
        <v>0.24677475827139103</v>
      </c>
      <c r="N91" s="9">
        <f t="shared" si="7"/>
        <v>1.6358646929517271E-3</v>
      </c>
    </row>
    <row r="92" spans="1:14" x14ac:dyDescent="0.35">
      <c r="A92" s="6">
        <v>45009</v>
      </c>
      <c r="B92" t="s">
        <v>12</v>
      </c>
      <c r="C92" t="s">
        <v>24</v>
      </c>
      <c r="D92" t="s">
        <v>25</v>
      </c>
      <c r="E92" t="s">
        <v>33</v>
      </c>
      <c r="F92" s="4">
        <v>7</v>
      </c>
      <c r="G92" s="4">
        <v>134534.39999999999</v>
      </c>
      <c r="H92" s="4">
        <v>105769.79</v>
      </c>
      <c r="I92" s="8">
        <v>0.2</v>
      </c>
      <c r="J92" s="4">
        <v>28764.61</v>
      </c>
      <c r="K92" s="4" t="str">
        <f t="shared" si="4"/>
        <v>March</v>
      </c>
      <c r="L92">
        <f t="shared" si="5"/>
        <v>3</v>
      </c>
      <c r="M92" s="9">
        <f t="shared" si="6"/>
        <v>0.21380858724608726</v>
      </c>
      <c r="N92" s="9">
        <f t="shared" si="7"/>
        <v>1.245856980374107E-3</v>
      </c>
    </row>
    <row r="93" spans="1:14" x14ac:dyDescent="0.35">
      <c r="A93" s="6">
        <v>45186</v>
      </c>
      <c r="B93" t="s">
        <v>12</v>
      </c>
      <c r="C93" t="s">
        <v>23</v>
      </c>
      <c r="D93" t="s">
        <v>28</v>
      </c>
      <c r="E93" t="s">
        <v>39</v>
      </c>
      <c r="F93" s="4">
        <v>6</v>
      </c>
      <c r="G93" s="4">
        <v>190706.4</v>
      </c>
      <c r="H93" s="4">
        <v>117986.8</v>
      </c>
      <c r="I93" s="8">
        <v>0.1</v>
      </c>
      <c r="J93" s="4">
        <v>72719.600000000006</v>
      </c>
      <c r="K93" s="4" t="str">
        <f t="shared" si="4"/>
        <v>September</v>
      </c>
      <c r="L93">
        <f t="shared" si="5"/>
        <v>9</v>
      </c>
      <c r="M93" s="9">
        <f t="shared" si="6"/>
        <v>0.38131704022518387</v>
      </c>
      <c r="N93" s="9">
        <f t="shared" si="7"/>
        <v>1.7660382745380856E-3</v>
      </c>
    </row>
    <row r="94" spans="1:14" x14ac:dyDescent="0.35">
      <c r="A94" s="6">
        <v>45044</v>
      </c>
      <c r="B94" t="s">
        <v>10</v>
      </c>
      <c r="C94" t="s">
        <v>14</v>
      </c>
      <c r="D94" t="s">
        <v>27</v>
      </c>
      <c r="E94" t="s">
        <v>31</v>
      </c>
      <c r="F94" s="4">
        <v>2</v>
      </c>
      <c r="G94" s="4">
        <v>69705.3</v>
      </c>
      <c r="H94" s="4">
        <v>47019.1</v>
      </c>
      <c r="I94" s="8">
        <v>0.05</v>
      </c>
      <c r="J94" s="4">
        <v>22686.2</v>
      </c>
      <c r="K94" s="4" t="str">
        <f t="shared" si="4"/>
        <v>April</v>
      </c>
      <c r="L94">
        <f t="shared" si="5"/>
        <v>4</v>
      </c>
      <c r="M94" s="9">
        <f t="shared" si="6"/>
        <v>0.32545875277776581</v>
      </c>
      <c r="N94" s="9">
        <f t="shared" si="7"/>
        <v>6.455065364254143E-4</v>
      </c>
    </row>
    <row r="95" spans="1:14" x14ac:dyDescent="0.35">
      <c r="A95" s="6">
        <v>45177</v>
      </c>
      <c r="B95" t="s">
        <v>9</v>
      </c>
      <c r="C95" t="s">
        <v>15</v>
      </c>
      <c r="D95" t="s">
        <v>28</v>
      </c>
      <c r="E95" t="s">
        <v>44</v>
      </c>
      <c r="F95" s="4">
        <v>1</v>
      </c>
      <c r="G95" s="4">
        <v>7141.6</v>
      </c>
      <c r="H95" s="4">
        <v>4085.72</v>
      </c>
      <c r="I95" s="8">
        <v>0.2</v>
      </c>
      <c r="J95" s="4">
        <v>3055.88</v>
      </c>
      <c r="K95" s="4" t="str">
        <f t="shared" si="4"/>
        <v>September</v>
      </c>
      <c r="L95">
        <f t="shared" si="5"/>
        <v>9</v>
      </c>
      <c r="M95" s="9">
        <f t="shared" si="6"/>
        <v>0.42789851013778424</v>
      </c>
      <c r="N95" s="9">
        <f t="shared" si="7"/>
        <v>6.613484886422895E-5</v>
      </c>
    </row>
    <row r="96" spans="1:14" x14ac:dyDescent="0.35">
      <c r="A96" s="6">
        <v>44992</v>
      </c>
      <c r="B96" t="s">
        <v>12</v>
      </c>
      <c r="C96" t="s">
        <v>23</v>
      </c>
      <c r="D96" t="s">
        <v>26</v>
      </c>
      <c r="E96" t="s">
        <v>35</v>
      </c>
      <c r="F96" s="4">
        <v>7</v>
      </c>
      <c r="G96" s="4">
        <v>88222.399999999994</v>
      </c>
      <c r="H96" s="4">
        <v>62203.62</v>
      </c>
      <c r="I96" s="8">
        <v>0.2</v>
      </c>
      <c r="J96" s="4">
        <v>26018.78</v>
      </c>
      <c r="K96" s="4" t="str">
        <f t="shared" si="4"/>
        <v>March</v>
      </c>
      <c r="L96">
        <f t="shared" si="5"/>
        <v>3</v>
      </c>
      <c r="M96" s="9">
        <f t="shared" si="6"/>
        <v>0.29492260468996534</v>
      </c>
      <c r="N96" s="9">
        <f t="shared" si="7"/>
        <v>8.1698430189867141E-4</v>
      </c>
    </row>
    <row r="97" spans="1:14" x14ac:dyDescent="0.35">
      <c r="A97" s="6">
        <v>45212</v>
      </c>
      <c r="B97" t="s">
        <v>9</v>
      </c>
      <c r="C97" t="s">
        <v>15</v>
      </c>
      <c r="D97" t="s">
        <v>25</v>
      </c>
      <c r="E97" t="s">
        <v>32</v>
      </c>
      <c r="F97" s="4">
        <v>4</v>
      </c>
      <c r="G97" s="4">
        <v>152566.20000000001</v>
      </c>
      <c r="H97" s="4">
        <v>106411.78</v>
      </c>
      <c r="I97" s="8">
        <v>0.05</v>
      </c>
      <c r="J97" s="4">
        <v>46154.42</v>
      </c>
      <c r="K97" s="4" t="str">
        <f t="shared" si="4"/>
        <v>October</v>
      </c>
      <c r="L97">
        <f t="shared" si="5"/>
        <v>10</v>
      </c>
      <c r="M97" s="9">
        <f t="shared" si="6"/>
        <v>0.30252061072504915</v>
      </c>
      <c r="N97" s="9">
        <f t="shared" si="7"/>
        <v>1.4128406209798544E-3</v>
      </c>
    </row>
    <row r="98" spans="1:14" x14ac:dyDescent="0.35">
      <c r="A98" s="6">
        <v>45261</v>
      </c>
      <c r="B98" t="s">
        <v>9</v>
      </c>
      <c r="C98" t="s">
        <v>15</v>
      </c>
      <c r="D98" t="s">
        <v>25</v>
      </c>
      <c r="E98" t="s">
        <v>29</v>
      </c>
      <c r="F98" s="4">
        <v>2</v>
      </c>
      <c r="G98" s="4">
        <v>36430</v>
      </c>
      <c r="H98" s="4">
        <v>24717.66</v>
      </c>
      <c r="I98" s="8">
        <v>0</v>
      </c>
      <c r="J98" s="4">
        <v>11712.34</v>
      </c>
      <c r="K98" s="4" t="str">
        <f t="shared" si="4"/>
        <v>December</v>
      </c>
      <c r="L98">
        <f t="shared" si="5"/>
        <v>12</v>
      </c>
      <c r="M98" s="9">
        <f t="shared" si="6"/>
        <v>0.32150260774087291</v>
      </c>
      <c r="N98" s="9">
        <f t="shared" si="7"/>
        <v>3.3736033159570135E-4</v>
      </c>
    </row>
    <row r="99" spans="1:14" x14ac:dyDescent="0.35">
      <c r="A99" s="6">
        <v>45064</v>
      </c>
      <c r="B99" t="s">
        <v>11</v>
      </c>
      <c r="C99" t="s">
        <v>18</v>
      </c>
      <c r="D99" t="s">
        <v>25</v>
      </c>
      <c r="E99" t="s">
        <v>32</v>
      </c>
      <c r="F99" s="4">
        <v>3</v>
      </c>
      <c r="G99" s="4">
        <v>104611.2</v>
      </c>
      <c r="H99" s="4">
        <v>78366.13</v>
      </c>
      <c r="I99" s="8">
        <v>0.2</v>
      </c>
      <c r="J99" s="4">
        <v>26245.07</v>
      </c>
      <c r="K99" s="4" t="str">
        <f t="shared" si="4"/>
        <v>May</v>
      </c>
      <c r="L99">
        <f t="shared" si="5"/>
        <v>5</v>
      </c>
      <c r="M99" s="9">
        <f t="shared" si="6"/>
        <v>0.25088202792817593</v>
      </c>
      <c r="N99" s="9">
        <f t="shared" si="7"/>
        <v>9.6875292672589158E-4</v>
      </c>
    </row>
    <row r="100" spans="1:14" x14ac:dyDescent="0.35">
      <c r="A100" s="6">
        <v>45131</v>
      </c>
      <c r="B100" t="s">
        <v>11</v>
      </c>
      <c r="C100" t="s">
        <v>16</v>
      </c>
      <c r="D100" t="s">
        <v>28</v>
      </c>
      <c r="E100" t="s">
        <v>39</v>
      </c>
      <c r="F100" s="4">
        <v>4</v>
      </c>
      <c r="G100" s="4">
        <v>142241.60000000001</v>
      </c>
      <c r="H100" s="4">
        <v>100308.98</v>
      </c>
      <c r="I100" s="8">
        <v>0.05</v>
      </c>
      <c r="J100" s="4">
        <v>41932.620000000003</v>
      </c>
      <c r="K100" s="4" t="str">
        <f t="shared" si="4"/>
        <v>July</v>
      </c>
      <c r="L100">
        <f t="shared" si="5"/>
        <v>7</v>
      </c>
      <c r="M100" s="9">
        <f t="shared" si="6"/>
        <v>0.29479856807010046</v>
      </c>
      <c r="N100" s="9">
        <f t="shared" si="7"/>
        <v>1.3172295729536952E-3</v>
      </c>
    </row>
    <row r="101" spans="1:14" x14ac:dyDescent="0.35">
      <c r="A101" s="6">
        <v>45262</v>
      </c>
      <c r="B101" t="s">
        <v>10</v>
      </c>
      <c r="C101" t="s">
        <v>22</v>
      </c>
      <c r="D101" t="s">
        <v>25</v>
      </c>
      <c r="E101" t="s">
        <v>37</v>
      </c>
      <c r="F101" s="4">
        <v>3</v>
      </c>
      <c r="G101" s="4">
        <v>20262</v>
      </c>
      <c r="H101" s="4">
        <v>13474.83</v>
      </c>
      <c r="I101" s="8">
        <v>0</v>
      </c>
      <c r="J101" s="4">
        <v>6787.17</v>
      </c>
      <c r="K101" s="4" t="str">
        <f t="shared" si="4"/>
        <v>December</v>
      </c>
      <c r="L101">
        <f t="shared" si="5"/>
        <v>12</v>
      </c>
      <c r="M101" s="9">
        <f t="shared" si="6"/>
        <v>0.33497038791827066</v>
      </c>
      <c r="N101" s="9">
        <f t="shared" si="7"/>
        <v>1.8763642708734835E-4</v>
      </c>
    </row>
    <row r="102" spans="1:14" x14ac:dyDescent="0.35">
      <c r="A102" s="6">
        <v>45121</v>
      </c>
      <c r="B102" t="s">
        <v>9</v>
      </c>
      <c r="C102" t="s">
        <v>15</v>
      </c>
      <c r="D102" t="s">
        <v>28</v>
      </c>
      <c r="E102" t="s">
        <v>44</v>
      </c>
      <c r="F102" s="4">
        <v>4</v>
      </c>
      <c r="G102" s="4">
        <v>156111</v>
      </c>
      <c r="H102" s="4">
        <v>99351.67</v>
      </c>
      <c r="I102" s="8">
        <v>0.15</v>
      </c>
      <c r="J102" s="4">
        <v>56759.33</v>
      </c>
      <c r="K102" s="4" t="str">
        <f t="shared" si="4"/>
        <v>July</v>
      </c>
      <c r="L102">
        <f t="shared" si="5"/>
        <v>7</v>
      </c>
      <c r="M102" s="9">
        <f t="shared" si="6"/>
        <v>0.36358315557519971</v>
      </c>
      <c r="N102" s="9">
        <f t="shared" si="7"/>
        <v>1.4456672721860151E-3</v>
      </c>
    </row>
    <row r="103" spans="1:14" x14ac:dyDescent="0.35">
      <c r="A103" s="6">
        <v>45203</v>
      </c>
      <c r="B103" t="s">
        <v>11</v>
      </c>
      <c r="C103" t="s">
        <v>17</v>
      </c>
      <c r="D103" t="s">
        <v>25</v>
      </c>
      <c r="E103" t="s">
        <v>33</v>
      </c>
      <c r="F103" s="4">
        <v>2</v>
      </c>
      <c r="G103" s="4">
        <v>55540.800000000003</v>
      </c>
      <c r="H103" s="4">
        <v>33655.629999999997</v>
      </c>
      <c r="I103" s="8">
        <v>0.05</v>
      </c>
      <c r="J103" s="4">
        <v>21885.17</v>
      </c>
      <c r="K103" s="4" t="str">
        <f t="shared" si="4"/>
        <v>October</v>
      </c>
      <c r="L103">
        <f t="shared" si="5"/>
        <v>10</v>
      </c>
      <c r="M103" s="9">
        <f t="shared" si="6"/>
        <v>0.39403771641748042</v>
      </c>
      <c r="N103" s="9">
        <f t="shared" si="7"/>
        <v>5.1433606107852126E-4</v>
      </c>
    </row>
    <row r="104" spans="1:14" x14ac:dyDescent="0.35">
      <c r="A104" s="6">
        <v>45059</v>
      </c>
      <c r="B104" t="s">
        <v>12</v>
      </c>
      <c r="C104" t="s">
        <v>24</v>
      </c>
      <c r="D104" t="s">
        <v>26</v>
      </c>
      <c r="E104" t="s">
        <v>34</v>
      </c>
      <c r="F104" s="4">
        <v>5</v>
      </c>
      <c r="G104" s="4">
        <v>94244</v>
      </c>
      <c r="H104" s="4">
        <v>64762.48</v>
      </c>
      <c r="I104" s="8">
        <v>0.2</v>
      </c>
      <c r="J104" s="4">
        <v>29481.52</v>
      </c>
      <c r="K104" s="4" t="str">
        <f t="shared" si="4"/>
        <v>May</v>
      </c>
      <c r="L104">
        <f t="shared" si="5"/>
        <v>5</v>
      </c>
      <c r="M104" s="9">
        <f t="shared" si="6"/>
        <v>0.31282118755570648</v>
      </c>
      <c r="N104" s="9">
        <f t="shared" si="7"/>
        <v>8.7274738102951631E-4</v>
      </c>
    </row>
    <row r="105" spans="1:14" x14ac:dyDescent="0.35">
      <c r="A105" s="6">
        <v>45208</v>
      </c>
      <c r="B105" t="s">
        <v>12</v>
      </c>
      <c r="C105" t="s">
        <v>24</v>
      </c>
      <c r="D105" t="s">
        <v>28</v>
      </c>
      <c r="E105" t="s">
        <v>36</v>
      </c>
      <c r="F105" s="4">
        <v>1</v>
      </c>
      <c r="G105" s="4">
        <v>21463.200000000001</v>
      </c>
      <c r="H105" s="4">
        <v>13530.31</v>
      </c>
      <c r="I105" s="8">
        <v>0.2</v>
      </c>
      <c r="J105" s="4">
        <v>7932.89</v>
      </c>
      <c r="K105" s="4" t="str">
        <f t="shared" si="4"/>
        <v>October</v>
      </c>
      <c r="L105">
        <f t="shared" si="5"/>
        <v>10</v>
      </c>
      <c r="M105" s="9">
        <f t="shared" si="6"/>
        <v>0.36960425286071041</v>
      </c>
      <c r="N105" s="9">
        <f t="shared" si="7"/>
        <v>1.987601501264029E-4</v>
      </c>
    </row>
    <row r="106" spans="1:14" x14ac:dyDescent="0.35">
      <c r="A106" s="6">
        <v>45218</v>
      </c>
      <c r="B106" t="s">
        <v>12</v>
      </c>
      <c r="C106" t="s">
        <v>21</v>
      </c>
      <c r="D106" t="s">
        <v>27</v>
      </c>
      <c r="E106" t="s">
        <v>41</v>
      </c>
      <c r="F106" s="4">
        <v>7</v>
      </c>
      <c r="G106" s="4">
        <v>255707.2</v>
      </c>
      <c r="H106" s="4">
        <v>140804.85</v>
      </c>
      <c r="I106" s="8">
        <v>0.2</v>
      </c>
      <c r="J106" s="4">
        <v>114902.35</v>
      </c>
      <c r="K106" s="4" t="str">
        <f t="shared" si="4"/>
        <v>October</v>
      </c>
      <c r="L106">
        <f t="shared" si="5"/>
        <v>10</v>
      </c>
      <c r="M106" s="9">
        <f t="shared" si="6"/>
        <v>0.44935125017989325</v>
      </c>
      <c r="N106" s="9">
        <f t="shared" si="7"/>
        <v>2.3679787478289413E-3</v>
      </c>
    </row>
    <row r="107" spans="1:14" x14ac:dyDescent="0.35">
      <c r="A107" s="6">
        <v>45004</v>
      </c>
      <c r="B107" t="s">
        <v>12</v>
      </c>
      <c r="C107" t="s">
        <v>23</v>
      </c>
      <c r="D107" t="s">
        <v>25</v>
      </c>
      <c r="E107" t="s">
        <v>33</v>
      </c>
      <c r="F107" s="4">
        <v>4</v>
      </c>
      <c r="G107" s="4">
        <v>3047.6</v>
      </c>
      <c r="H107" s="4">
        <v>2255.19</v>
      </c>
      <c r="I107" s="8">
        <v>0.05</v>
      </c>
      <c r="J107" s="4">
        <v>792.41</v>
      </c>
      <c r="K107" s="4" t="str">
        <f t="shared" si="4"/>
        <v>March</v>
      </c>
      <c r="L107">
        <f t="shared" si="5"/>
        <v>3</v>
      </c>
      <c r="M107" s="9">
        <f t="shared" si="6"/>
        <v>0.26001115631972699</v>
      </c>
      <c r="N107" s="9">
        <f t="shared" si="7"/>
        <v>2.8222326285233582E-5</v>
      </c>
    </row>
    <row r="108" spans="1:14" x14ac:dyDescent="0.35">
      <c r="A108" s="6">
        <v>45037</v>
      </c>
      <c r="B108" t="s">
        <v>11</v>
      </c>
      <c r="C108" t="s">
        <v>18</v>
      </c>
      <c r="D108" t="s">
        <v>27</v>
      </c>
      <c r="E108" t="s">
        <v>41</v>
      </c>
      <c r="F108" s="4">
        <v>6</v>
      </c>
      <c r="G108" s="4">
        <v>83883.600000000006</v>
      </c>
      <c r="H108" s="4">
        <v>61095.56</v>
      </c>
      <c r="I108" s="8">
        <v>0.1</v>
      </c>
      <c r="J108" s="4">
        <v>22788.04</v>
      </c>
      <c r="K108" s="4" t="str">
        <f t="shared" si="4"/>
        <v>April</v>
      </c>
      <c r="L108">
        <f t="shared" si="5"/>
        <v>4</v>
      </c>
      <c r="M108" s="9">
        <f t="shared" si="6"/>
        <v>0.27166263727355527</v>
      </c>
      <c r="N108" s="9">
        <f t="shared" si="7"/>
        <v>7.7680480679223651E-4</v>
      </c>
    </row>
    <row r="109" spans="1:14" x14ac:dyDescent="0.35">
      <c r="A109" s="6">
        <v>45153</v>
      </c>
      <c r="B109" t="s">
        <v>9</v>
      </c>
      <c r="C109" t="s">
        <v>20</v>
      </c>
      <c r="D109" t="s">
        <v>25</v>
      </c>
      <c r="E109" t="s">
        <v>29</v>
      </c>
      <c r="F109" s="4">
        <v>4</v>
      </c>
      <c r="G109" s="4">
        <v>157472</v>
      </c>
      <c r="H109" s="4">
        <v>104223.33</v>
      </c>
      <c r="I109" s="8">
        <v>0.05</v>
      </c>
      <c r="J109" s="4">
        <v>53248.67</v>
      </c>
      <c r="K109" s="4" t="str">
        <f t="shared" si="4"/>
        <v>August</v>
      </c>
      <c r="L109">
        <f t="shared" si="5"/>
        <v>8</v>
      </c>
      <c r="M109" s="9">
        <f t="shared" si="6"/>
        <v>0.33814690865677705</v>
      </c>
      <c r="N109" s="9">
        <f t="shared" si="7"/>
        <v>1.4582708245138151E-3</v>
      </c>
    </row>
    <row r="110" spans="1:14" x14ac:dyDescent="0.35">
      <c r="A110" s="6">
        <v>45199</v>
      </c>
      <c r="B110" t="s">
        <v>9</v>
      </c>
      <c r="C110" t="s">
        <v>15</v>
      </c>
      <c r="D110" t="s">
        <v>26</v>
      </c>
      <c r="E110" t="s">
        <v>43</v>
      </c>
      <c r="F110" s="4">
        <v>7</v>
      </c>
      <c r="G110" s="4">
        <v>273938</v>
      </c>
      <c r="H110" s="4">
        <v>152040.47</v>
      </c>
      <c r="I110" s="8">
        <v>0.15</v>
      </c>
      <c r="J110" s="4">
        <v>121897.53</v>
      </c>
      <c r="K110" s="4" t="str">
        <f t="shared" si="4"/>
        <v>September</v>
      </c>
      <c r="L110">
        <f t="shared" si="5"/>
        <v>9</v>
      </c>
      <c r="M110" s="9">
        <f t="shared" si="6"/>
        <v>0.44498218575006021</v>
      </c>
      <c r="N110" s="9">
        <f t="shared" si="7"/>
        <v>2.536805229664102E-3</v>
      </c>
    </row>
    <row r="111" spans="1:14" x14ac:dyDescent="0.35">
      <c r="A111" s="6">
        <v>44951</v>
      </c>
      <c r="B111" t="s">
        <v>9</v>
      </c>
      <c r="C111" t="s">
        <v>20</v>
      </c>
      <c r="D111" t="s">
        <v>28</v>
      </c>
      <c r="E111" t="s">
        <v>36</v>
      </c>
      <c r="F111" s="4">
        <v>4</v>
      </c>
      <c r="G111" s="4">
        <v>20528</v>
      </c>
      <c r="H111" s="4">
        <v>13050.3</v>
      </c>
      <c r="I111" s="8">
        <v>0</v>
      </c>
      <c r="J111" s="4">
        <v>7477.7</v>
      </c>
      <c r="K111" s="4" t="str">
        <f t="shared" si="4"/>
        <v>January</v>
      </c>
      <c r="L111">
        <f t="shared" si="5"/>
        <v>1</v>
      </c>
      <c r="M111" s="9">
        <f t="shared" si="6"/>
        <v>0.36426831644583008</v>
      </c>
      <c r="N111" s="9">
        <f t="shared" si="7"/>
        <v>1.900997223990271E-4</v>
      </c>
    </row>
    <row r="112" spans="1:14" x14ac:dyDescent="0.35">
      <c r="A112" s="6">
        <v>44960</v>
      </c>
      <c r="B112" t="s">
        <v>11</v>
      </c>
      <c r="C112" t="s">
        <v>18</v>
      </c>
      <c r="D112" t="s">
        <v>25</v>
      </c>
      <c r="E112" t="s">
        <v>33</v>
      </c>
      <c r="F112" s="4">
        <v>5</v>
      </c>
      <c r="G112" s="4">
        <v>115744.5</v>
      </c>
      <c r="H112" s="4">
        <v>79201.259999999995</v>
      </c>
      <c r="I112" s="8">
        <v>0.15</v>
      </c>
      <c r="J112" s="4">
        <v>36543.24</v>
      </c>
      <c r="K112" s="4" t="str">
        <f t="shared" si="4"/>
        <v>February</v>
      </c>
      <c r="L112">
        <f t="shared" si="5"/>
        <v>2</v>
      </c>
      <c r="M112" s="9">
        <f t="shared" si="6"/>
        <v>0.31572333890595233</v>
      </c>
      <c r="N112" s="9">
        <f t="shared" si="7"/>
        <v>1.0718529481300756E-3</v>
      </c>
    </row>
    <row r="113" spans="1:14" x14ac:dyDescent="0.35">
      <c r="A113" s="6">
        <v>45208</v>
      </c>
      <c r="B113" t="s">
        <v>9</v>
      </c>
      <c r="C113" t="s">
        <v>13</v>
      </c>
      <c r="D113" t="s">
        <v>26</v>
      </c>
      <c r="E113" t="s">
        <v>35</v>
      </c>
      <c r="F113" s="4">
        <v>2</v>
      </c>
      <c r="G113" s="4">
        <v>57184</v>
      </c>
      <c r="H113" s="4">
        <v>36641.82</v>
      </c>
      <c r="I113" s="8">
        <v>0.2</v>
      </c>
      <c r="J113" s="4">
        <v>20542.18</v>
      </c>
      <c r="K113" s="4" t="str">
        <f t="shared" si="4"/>
        <v>October</v>
      </c>
      <c r="L113">
        <f t="shared" si="5"/>
        <v>10</v>
      </c>
      <c r="M113" s="9">
        <f t="shared" si="6"/>
        <v>0.35922950475657528</v>
      </c>
      <c r="N113" s="9">
        <f t="shared" si="7"/>
        <v>5.2955292895878628E-4</v>
      </c>
    </row>
    <row r="114" spans="1:14" x14ac:dyDescent="0.35">
      <c r="A114" s="6">
        <v>45076</v>
      </c>
      <c r="B114" t="s">
        <v>11</v>
      </c>
      <c r="C114" t="s">
        <v>18</v>
      </c>
      <c r="D114" t="s">
        <v>25</v>
      </c>
      <c r="E114" t="s">
        <v>37</v>
      </c>
      <c r="F114" s="4">
        <v>3</v>
      </c>
      <c r="G114" s="4">
        <v>42624</v>
      </c>
      <c r="H114" s="4">
        <v>33392.620000000003</v>
      </c>
      <c r="I114" s="8">
        <v>0.2</v>
      </c>
      <c r="J114" s="4">
        <v>9231.3799999999992</v>
      </c>
      <c r="K114" s="4" t="str">
        <f t="shared" si="4"/>
        <v>May</v>
      </c>
      <c r="L114">
        <f t="shared" si="5"/>
        <v>5</v>
      </c>
      <c r="M114" s="9">
        <f t="shared" si="6"/>
        <v>0.21657704579579579</v>
      </c>
      <c r="N114" s="9">
        <f t="shared" si="7"/>
        <v>3.9471992242479207E-4</v>
      </c>
    </row>
    <row r="115" spans="1:14" x14ac:dyDescent="0.35">
      <c r="A115" s="6">
        <v>45276</v>
      </c>
      <c r="B115" t="s">
        <v>12</v>
      </c>
      <c r="C115" t="s">
        <v>24</v>
      </c>
      <c r="D115" t="s">
        <v>28</v>
      </c>
      <c r="E115" t="s">
        <v>42</v>
      </c>
      <c r="F115" s="4">
        <v>4</v>
      </c>
      <c r="G115" s="4">
        <v>43606.8</v>
      </c>
      <c r="H115" s="4">
        <v>24941.86</v>
      </c>
      <c r="I115" s="8">
        <v>0.1</v>
      </c>
      <c r="J115" s="4">
        <v>18664.939999999999</v>
      </c>
      <c r="K115" s="4" t="str">
        <f t="shared" si="4"/>
        <v>December</v>
      </c>
      <c r="L115">
        <f t="shared" si="5"/>
        <v>12</v>
      </c>
      <c r="M115" s="9">
        <f t="shared" si="6"/>
        <v>0.42802819743709691</v>
      </c>
      <c r="N115" s="9">
        <f t="shared" si="7"/>
        <v>4.0382115036583671E-4</v>
      </c>
    </row>
    <row r="116" spans="1:14" x14ac:dyDescent="0.35">
      <c r="A116" s="6">
        <v>45149</v>
      </c>
      <c r="B116" t="s">
        <v>9</v>
      </c>
      <c r="C116" t="s">
        <v>15</v>
      </c>
      <c r="D116" t="s">
        <v>27</v>
      </c>
      <c r="E116" t="s">
        <v>40</v>
      </c>
      <c r="F116" s="4">
        <v>3</v>
      </c>
      <c r="G116" s="4">
        <v>60763.199999999997</v>
      </c>
      <c r="H116" s="4">
        <v>48342.879999999997</v>
      </c>
      <c r="I116" s="8">
        <v>0.2</v>
      </c>
      <c r="J116" s="4">
        <v>12420.32</v>
      </c>
      <c r="K116" s="4" t="str">
        <f t="shared" si="4"/>
        <v>August</v>
      </c>
      <c r="L116">
        <f t="shared" si="5"/>
        <v>8</v>
      </c>
      <c r="M116" s="9">
        <f t="shared" si="6"/>
        <v>0.20440529794349213</v>
      </c>
      <c r="N116" s="9">
        <f t="shared" si="7"/>
        <v>5.6269814166390114E-4</v>
      </c>
    </row>
    <row r="117" spans="1:14" x14ac:dyDescent="0.35">
      <c r="A117" s="6">
        <v>44988</v>
      </c>
      <c r="B117" t="s">
        <v>10</v>
      </c>
      <c r="C117" t="s">
        <v>19</v>
      </c>
      <c r="D117" t="s">
        <v>26</v>
      </c>
      <c r="E117" t="s">
        <v>30</v>
      </c>
      <c r="F117" s="4">
        <v>3</v>
      </c>
      <c r="G117" s="4">
        <v>68550</v>
      </c>
      <c r="H117" s="4">
        <v>46112.71</v>
      </c>
      <c r="I117" s="8">
        <v>0</v>
      </c>
      <c r="J117" s="4">
        <v>22437.29</v>
      </c>
      <c r="K117" s="4" t="str">
        <f t="shared" si="4"/>
        <v>March</v>
      </c>
      <c r="L117">
        <f t="shared" si="5"/>
        <v>3</v>
      </c>
      <c r="M117" s="9">
        <f t="shared" si="6"/>
        <v>0.32731276440554341</v>
      </c>
      <c r="N117" s="9">
        <f t="shared" si="7"/>
        <v>6.3480787073525466E-4</v>
      </c>
    </row>
    <row r="118" spans="1:14" x14ac:dyDescent="0.35">
      <c r="A118" s="6">
        <v>45252</v>
      </c>
      <c r="B118" t="s">
        <v>12</v>
      </c>
      <c r="C118" t="s">
        <v>24</v>
      </c>
      <c r="D118" t="s">
        <v>25</v>
      </c>
      <c r="E118" t="s">
        <v>29</v>
      </c>
      <c r="F118" s="4">
        <v>2</v>
      </c>
      <c r="G118" s="4">
        <v>75222.399999999994</v>
      </c>
      <c r="H118" s="4">
        <v>55843.1</v>
      </c>
      <c r="I118" s="8">
        <v>0.2</v>
      </c>
      <c r="J118" s="4">
        <v>19379.3</v>
      </c>
      <c r="K118" s="4" t="str">
        <f t="shared" si="4"/>
        <v>November</v>
      </c>
      <c r="L118">
        <f t="shared" si="5"/>
        <v>11</v>
      </c>
      <c r="M118" s="9">
        <f t="shared" si="6"/>
        <v>0.25762671757348876</v>
      </c>
      <c r="N118" s="9">
        <f t="shared" si="7"/>
        <v>6.9659768892189086E-4</v>
      </c>
    </row>
    <row r="119" spans="1:14" x14ac:dyDescent="0.35">
      <c r="A119" s="6">
        <v>44973</v>
      </c>
      <c r="B119" t="s">
        <v>10</v>
      </c>
      <c r="C119" t="s">
        <v>19</v>
      </c>
      <c r="D119" t="s">
        <v>26</v>
      </c>
      <c r="E119" t="s">
        <v>35</v>
      </c>
      <c r="F119" s="4">
        <v>4</v>
      </c>
      <c r="G119" s="4">
        <v>169578.4</v>
      </c>
      <c r="H119" s="4">
        <v>103544.98</v>
      </c>
      <c r="I119" s="8">
        <v>0.15</v>
      </c>
      <c r="J119" s="4">
        <v>66033.42</v>
      </c>
      <c r="K119" s="4" t="str">
        <f t="shared" si="4"/>
        <v>February</v>
      </c>
      <c r="L119">
        <f t="shared" si="5"/>
        <v>2</v>
      </c>
      <c r="M119" s="9">
        <f t="shared" si="6"/>
        <v>0.38939758837210398</v>
      </c>
      <c r="N119" s="9">
        <f t="shared" si="7"/>
        <v>1.5703822469247456E-3</v>
      </c>
    </row>
    <row r="120" spans="1:14" x14ac:dyDescent="0.35">
      <c r="A120" s="6">
        <v>45259</v>
      </c>
      <c r="B120" t="s">
        <v>12</v>
      </c>
      <c r="C120" t="s">
        <v>24</v>
      </c>
      <c r="D120" t="s">
        <v>28</v>
      </c>
      <c r="E120" t="s">
        <v>44</v>
      </c>
      <c r="F120" s="4">
        <v>6</v>
      </c>
      <c r="G120" s="4">
        <v>12571.2</v>
      </c>
      <c r="H120" s="4">
        <v>9843.2900000000009</v>
      </c>
      <c r="I120" s="8">
        <v>0.1</v>
      </c>
      <c r="J120" s="4">
        <v>2727.91</v>
      </c>
      <c r="K120" s="4" t="str">
        <f t="shared" si="4"/>
        <v>November</v>
      </c>
      <c r="L120">
        <f t="shared" si="5"/>
        <v>11</v>
      </c>
      <c r="M120" s="9">
        <f t="shared" si="6"/>
        <v>0.21699678630520552</v>
      </c>
      <c r="N120" s="9">
        <f t="shared" si="7"/>
        <v>1.1641570685028496E-4</v>
      </c>
    </row>
    <row r="121" spans="1:14" x14ac:dyDescent="0.35">
      <c r="A121" s="6">
        <v>45098</v>
      </c>
      <c r="B121" t="s">
        <v>9</v>
      </c>
      <c r="C121" t="s">
        <v>15</v>
      </c>
      <c r="D121" t="s">
        <v>27</v>
      </c>
      <c r="E121" t="s">
        <v>41</v>
      </c>
      <c r="F121" s="4">
        <v>2</v>
      </c>
      <c r="G121" s="4">
        <v>814.4</v>
      </c>
      <c r="H121" s="4">
        <v>460.82</v>
      </c>
      <c r="I121" s="8">
        <v>0.2</v>
      </c>
      <c r="J121" s="4">
        <v>353.58</v>
      </c>
      <c r="K121" s="4" t="str">
        <f t="shared" si="4"/>
        <v>June</v>
      </c>
      <c r="L121">
        <f t="shared" si="5"/>
        <v>6</v>
      </c>
      <c r="M121" s="9">
        <f t="shared" si="6"/>
        <v>0.43416011787819253</v>
      </c>
      <c r="N121" s="9">
        <f t="shared" si="7"/>
        <v>7.5417582775607787E-6</v>
      </c>
    </row>
    <row r="122" spans="1:14" x14ac:dyDescent="0.35">
      <c r="A122" s="6">
        <v>45191</v>
      </c>
      <c r="B122" t="s">
        <v>10</v>
      </c>
      <c r="C122" t="s">
        <v>14</v>
      </c>
      <c r="D122" t="s">
        <v>26</v>
      </c>
      <c r="E122" t="s">
        <v>34</v>
      </c>
      <c r="F122" s="4">
        <v>4</v>
      </c>
      <c r="G122" s="4">
        <v>28838.400000000001</v>
      </c>
      <c r="H122" s="4">
        <v>15880.66</v>
      </c>
      <c r="I122" s="8">
        <v>0.2</v>
      </c>
      <c r="J122" s="4">
        <v>12957.74</v>
      </c>
      <c r="K122" s="4" t="str">
        <f t="shared" si="4"/>
        <v>September</v>
      </c>
      <c r="L122">
        <f t="shared" si="5"/>
        <v>9</v>
      </c>
      <c r="M122" s="9">
        <f t="shared" si="6"/>
        <v>0.4493224312028406</v>
      </c>
      <c r="N122" s="9">
        <f t="shared" si="7"/>
        <v>2.6705825382073768E-4</v>
      </c>
    </row>
    <row r="123" spans="1:14" x14ac:dyDescent="0.35">
      <c r="A123" s="6">
        <v>45162</v>
      </c>
      <c r="B123" t="s">
        <v>9</v>
      </c>
      <c r="C123" t="s">
        <v>15</v>
      </c>
      <c r="D123" t="s">
        <v>26</v>
      </c>
      <c r="E123" t="s">
        <v>34</v>
      </c>
      <c r="F123" s="4">
        <v>7</v>
      </c>
      <c r="G123" s="4">
        <v>257306</v>
      </c>
      <c r="H123" s="4">
        <v>196242.62</v>
      </c>
      <c r="I123" s="8">
        <v>0</v>
      </c>
      <c r="J123" s="4">
        <v>61063.38</v>
      </c>
      <c r="K123" s="4" t="str">
        <f t="shared" si="4"/>
        <v>August</v>
      </c>
      <c r="L123">
        <f t="shared" si="5"/>
        <v>8</v>
      </c>
      <c r="M123" s="9">
        <f t="shared" si="6"/>
        <v>0.23731813482779257</v>
      </c>
      <c r="N123" s="9">
        <f t="shared" si="7"/>
        <v>2.3827844491233468E-3</v>
      </c>
    </row>
    <row r="124" spans="1:14" x14ac:dyDescent="0.35">
      <c r="A124" s="6">
        <v>44961</v>
      </c>
      <c r="B124" t="s">
        <v>10</v>
      </c>
      <c r="C124" t="s">
        <v>19</v>
      </c>
      <c r="D124" t="s">
        <v>27</v>
      </c>
      <c r="E124" t="s">
        <v>31</v>
      </c>
      <c r="F124" s="4">
        <v>3</v>
      </c>
      <c r="G124" s="4">
        <v>16404.599999999999</v>
      </c>
      <c r="H124" s="4">
        <v>9765.7900000000009</v>
      </c>
      <c r="I124" s="8">
        <v>0.05</v>
      </c>
      <c r="J124" s="4">
        <v>6638.81</v>
      </c>
      <c r="K124" s="4" t="str">
        <f t="shared" si="4"/>
        <v>February</v>
      </c>
      <c r="L124">
        <f t="shared" si="5"/>
        <v>2</v>
      </c>
      <c r="M124" s="9">
        <f t="shared" si="6"/>
        <v>0.40469197664069839</v>
      </c>
      <c r="N124" s="9">
        <f t="shared" si="7"/>
        <v>1.5191494086453039E-4</v>
      </c>
    </row>
    <row r="125" spans="1:14" x14ac:dyDescent="0.35">
      <c r="A125" s="6">
        <v>45196</v>
      </c>
      <c r="B125" t="s">
        <v>12</v>
      </c>
      <c r="C125" t="s">
        <v>24</v>
      </c>
      <c r="D125" t="s">
        <v>26</v>
      </c>
      <c r="E125" t="s">
        <v>30</v>
      </c>
      <c r="F125" s="4">
        <v>5</v>
      </c>
      <c r="G125" s="4">
        <v>38281.5</v>
      </c>
      <c r="H125" s="4">
        <v>28665.83</v>
      </c>
      <c r="I125" s="8">
        <v>0.1</v>
      </c>
      <c r="J125" s="4">
        <v>9615.67</v>
      </c>
      <c r="K125" s="4" t="str">
        <f t="shared" si="4"/>
        <v>September</v>
      </c>
      <c r="L125">
        <f t="shared" si="5"/>
        <v>9</v>
      </c>
      <c r="M125" s="9">
        <f t="shared" si="6"/>
        <v>0.25118320859945403</v>
      </c>
      <c r="N125" s="9">
        <f t="shared" si="7"/>
        <v>3.5450616343620206E-4</v>
      </c>
    </row>
    <row r="126" spans="1:14" x14ac:dyDescent="0.35">
      <c r="A126" s="6">
        <v>44988</v>
      </c>
      <c r="B126" t="s">
        <v>11</v>
      </c>
      <c r="C126" t="s">
        <v>18</v>
      </c>
      <c r="D126" t="s">
        <v>25</v>
      </c>
      <c r="E126" t="s">
        <v>33</v>
      </c>
      <c r="F126" s="4">
        <v>5</v>
      </c>
      <c r="G126" s="4">
        <v>89019</v>
      </c>
      <c r="H126" s="4">
        <v>63064.59</v>
      </c>
      <c r="I126" s="8">
        <v>0.1</v>
      </c>
      <c r="J126" s="4">
        <v>25954.41</v>
      </c>
      <c r="K126" s="4" t="str">
        <f t="shared" si="4"/>
        <v>March</v>
      </c>
      <c r="L126">
        <f t="shared" si="5"/>
        <v>3</v>
      </c>
      <c r="M126" s="9">
        <f t="shared" si="6"/>
        <v>0.29156034105078693</v>
      </c>
      <c r="N126" s="9">
        <f t="shared" si="7"/>
        <v>8.2436122312154101E-4</v>
      </c>
    </row>
    <row r="127" spans="1:14" x14ac:dyDescent="0.35">
      <c r="A127" s="6">
        <v>45279</v>
      </c>
      <c r="B127" t="s">
        <v>11</v>
      </c>
      <c r="C127" t="s">
        <v>16</v>
      </c>
      <c r="D127" t="s">
        <v>27</v>
      </c>
      <c r="E127" t="s">
        <v>41</v>
      </c>
      <c r="F127" s="4">
        <v>1</v>
      </c>
      <c r="G127" s="4">
        <v>39422.699999999997</v>
      </c>
      <c r="H127" s="4">
        <v>27833.43</v>
      </c>
      <c r="I127" s="8">
        <v>0.1</v>
      </c>
      <c r="J127" s="4">
        <v>11589.27</v>
      </c>
      <c r="K127" s="4" t="str">
        <f t="shared" si="4"/>
        <v>December</v>
      </c>
      <c r="L127">
        <f t="shared" si="5"/>
        <v>12</v>
      </c>
      <c r="M127" s="9">
        <f t="shared" si="6"/>
        <v>0.29397453751265135</v>
      </c>
      <c r="N127" s="9">
        <f t="shared" si="7"/>
        <v>3.6507425595382525E-4</v>
      </c>
    </row>
    <row r="128" spans="1:14" x14ac:dyDescent="0.35">
      <c r="A128" s="6">
        <v>45235</v>
      </c>
      <c r="B128" t="s">
        <v>9</v>
      </c>
      <c r="C128" t="s">
        <v>15</v>
      </c>
      <c r="D128" t="s">
        <v>25</v>
      </c>
      <c r="E128" t="s">
        <v>33</v>
      </c>
      <c r="F128" s="4">
        <v>1</v>
      </c>
      <c r="G128" s="4">
        <v>2692</v>
      </c>
      <c r="H128" s="4">
        <v>1744.07</v>
      </c>
      <c r="I128" s="8">
        <v>0</v>
      </c>
      <c r="J128" s="4">
        <v>947.93</v>
      </c>
      <c r="K128" s="4" t="str">
        <f t="shared" si="4"/>
        <v>November</v>
      </c>
      <c r="L128">
        <f t="shared" si="5"/>
        <v>11</v>
      </c>
      <c r="M128" s="9">
        <f t="shared" si="6"/>
        <v>0.35212852897473995</v>
      </c>
      <c r="N128" s="9">
        <f t="shared" si="7"/>
        <v>2.4929289394884106E-5</v>
      </c>
    </row>
    <row r="129" spans="1:14" x14ac:dyDescent="0.35">
      <c r="A129" s="6">
        <v>44941</v>
      </c>
      <c r="B129" t="s">
        <v>11</v>
      </c>
      <c r="C129" t="s">
        <v>17</v>
      </c>
      <c r="D129" t="s">
        <v>25</v>
      </c>
      <c r="E129" t="s">
        <v>29</v>
      </c>
      <c r="F129" s="4">
        <v>6</v>
      </c>
      <c r="G129" s="4">
        <v>149590.79999999999</v>
      </c>
      <c r="H129" s="4">
        <v>94799.64</v>
      </c>
      <c r="I129" s="8">
        <v>0.1</v>
      </c>
      <c r="J129" s="4">
        <v>54791.16</v>
      </c>
      <c r="K129" s="4" t="str">
        <f t="shared" si="4"/>
        <v>January</v>
      </c>
      <c r="L129">
        <f t="shared" si="5"/>
        <v>1</v>
      </c>
      <c r="M129" s="9">
        <f t="shared" si="6"/>
        <v>0.36627359436542894</v>
      </c>
      <c r="N129" s="9">
        <f t="shared" si="7"/>
        <v>1.3852869034220762E-3</v>
      </c>
    </row>
    <row r="130" spans="1:14" x14ac:dyDescent="0.35">
      <c r="A130" s="6">
        <v>44964</v>
      </c>
      <c r="B130" t="s">
        <v>9</v>
      </c>
      <c r="C130" t="s">
        <v>13</v>
      </c>
      <c r="D130" t="s">
        <v>27</v>
      </c>
      <c r="E130" t="s">
        <v>31</v>
      </c>
      <c r="F130" s="4">
        <v>6</v>
      </c>
      <c r="G130" s="4">
        <v>53708.4</v>
      </c>
      <c r="H130" s="4">
        <v>40128.19</v>
      </c>
      <c r="I130" s="8">
        <v>0.1</v>
      </c>
      <c r="J130" s="4">
        <v>13580.21</v>
      </c>
      <c r="K130" s="4" t="str">
        <f t="shared" si="4"/>
        <v>February</v>
      </c>
      <c r="L130">
        <f t="shared" si="5"/>
        <v>2</v>
      </c>
      <c r="M130" s="9">
        <f t="shared" si="6"/>
        <v>0.25285076449866312</v>
      </c>
      <c r="N130" s="9">
        <f t="shared" si="7"/>
        <v>4.9736710495400954E-4</v>
      </c>
    </row>
    <row r="131" spans="1:14" x14ac:dyDescent="0.35">
      <c r="A131" s="6">
        <v>45012</v>
      </c>
      <c r="B131" t="s">
        <v>12</v>
      </c>
      <c r="C131" t="s">
        <v>23</v>
      </c>
      <c r="D131" t="s">
        <v>27</v>
      </c>
      <c r="E131" t="s">
        <v>38</v>
      </c>
      <c r="F131" s="4">
        <v>3</v>
      </c>
      <c r="G131" s="4">
        <v>53502</v>
      </c>
      <c r="H131" s="4">
        <v>29874.61</v>
      </c>
      <c r="I131" s="8">
        <v>0</v>
      </c>
      <c r="J131" s="4">
        <v>23627.39</v>
      </c>
      <c r="K131" s="4" t="str">
        <f t="shared" ref="K131:K194" si="8">TEXT(A131,"mmmm")</f>
        <v>March</v>
      </c>
      <c r="L131">
        <f t="shared" ref="L131:L194" si="9">MONTH(A131)</f>
        <v>3</v>
      </c>
      <c r="M131" s="9">
        <f t="shared" ref="M131:M194" si="10">J131/G131</f>
        <v>0.44161694889910658</v>
      </c>
      <c r="N131" s="9">
        <f t="shared" ref="N131:N194" si="11">G131/SUM(G:G)</f>
        <v>4.9545573596028588E-4</v>
      </c>
    </row>
    <row r="132" spans="1:14" x14ac:dyDescent="0.35">
      <c r="A132" s="6">
        <v>45154</v>
      </c>
      <c r="B132" t="s">
        <v>10</v>
      </c>
      <c r="C132" t="s">
        <v>19</v>
      </c>
      <c r="D132" t="s">
        <v>27</v>
      </c>
      <c r="E132" t="s">
        <v>40</v>
      </c>
      <c r="F132" s="4">
        <v>2</v>
      </c>
      <c r="G132" s="4">
        <v>70995.199999999997</v>
      </c>
      <c r="H132" s="4">
        <v>41010.94</v>
      </c>
      <c r="I132" s="8">
        <v>0.2</v>
      </c>
      <c r="J132" s="4">
        <v>29984.26</v>
      </c>
      <c r="K132" s="4" t="str">
        <f t="shared" si="8"/>
        <v>August</v>
      </c>
      <c r="L132">
        <f t="shared" si="9"/>
        <v>8</v>
      </c>
      <c r="M132" s="9">
        <f t="shared" si="10"/>
        <v>0.42234207383034345</v>
      </c>
      <c r="N132" s="9">
        <f t="shared" si="11"/>
        <v>6.5745166658531806E-4</v>
      </c>
    </row>
    <row r="133" spans="1:14" x14ac:dyDescent="0.35">
      <c r="A133" s="6">
        <v>45056</v>
      </c>
      <c r="B133" t="s">
        <v>12</v>
      </c>
      <c r="C133" t="s">
        <v>21</v>
      </c>
      <c r="D133" t="s">
        <v>27</v>
      </c>
      <c r="E133" t="s">
        <v>31</v>
      </c>
      <c r="F133" s="4">
        <v>5</v>
      </c>
      <c r="G133" s="4">
        <v>63248.5</v>
      </c>
      <c r="H133" s="4">
        <v>46207.02</v>
      </c>
      <c r="I133" s="8">
        <v>0.15</v>
      </c>
      <c r="J133" s="4">
        <v>17041.48</v>
      </c>
      <c r="K133" s="4" t="str">
        <f t="shared" si="8"/>
        <v>May</v>
      </c>
      <c r="L133">
        <f t="shared" si="9"/>
        <v>5</v>
      </c>
      <c r="M133" s="9">
        <f t="shared" si="10"/>
        <v>0.26943690364198358</v>
      </c>
      <c r="N133" s="9">
        <f t="shared" si="11"/>
        <v>5.8571328391245449E-4</v>
      </c>
    </row>
    <row r="134" spans="1:14" x14ac:dyDescent="0.35">
      <c r="A134" s="6">
        <v>45074</v>
      </c>
      <c r="B134" t="s">
        <v>9</v>
      </c>
      <c r="C134" t="s">
        <v>15</v>
      </c>
      <c r="D134" t="s">
        <v>25</v>
      </c>
      <c r="E134" t="s">
        <v>29</v>
      </c>
      <c r="F134" s="4">
        <v>4</v>
      </c>
      <c r="G134" s="4">
        <v>122619.6</v>
      </c>
      <c r="H134" s="4">
        <v>85803.97</v>
      </c>
      <c r="I134" s="8">
        <v>0.1</v>
      </c>
      <c r="J134" s="4">
        <v>36815.629999999997</v>
      </c>
      <c r="K134" s="4" t="str">
        <f t="shared" si="8"/>
        <v>May</v>
      </c>
      <c r="L134">
        <f t="shared" si="9"/>
        <v>5</v>
      </c>
      <c r="M134" s="9">
        <f t="shared" si="10"/>
        <v>0.30024262026625431</v>
      </c>
      <c r="N134" s="9">
        <f t="shared" si="11"/>
        <v>1.1355198714282806E-3</v>
      </c>
    </row>
    <row r="135" spans="1:14" x14ac:dyDescent="0.35">
      <c r="A135" s="6">
        <v>45144</v>
      </c>
      <c r="B135" t="s">
        <v>9</v>
      </c>
      <c r="C135" t="s">
        <v>20</v>
      </c>
      <c r="D135" t="s">
        <v>28</v>
      </c>
      <c r="E135" t="s">
        <v>44</v>
      </c>
      <c r="F135" s="4">
        <v>6</v>
      </c>
      <c r="G135" s="4">
        <v>254590.5</v>
      </c>
      <c r="H135" s="4">
        <v>200317.11</v>
      </c>
      <c r="I135" s="8">
        <v>0.05</v>
      </c>
      <c r="J135" s="4">
        <v>54273.39</v>
      </c>
      <c r="K135" s="4" t="str">
        <f t="shared" si="8"/>
        <v>August</v>
      </c>
      <c r="L135">
        <f t="shared" si="9"/>
        <v>8</v>
      </c>
      <c r="M135" s="9">
        <f t="shared" si="10"/>
        <v>0.21317916418719474</v>
      </c>
      <c r="N135" s="9">
        <f t="shared" si="11"/>
        <v>2.3576375377742354E-3</v>
      </c>
    </row>
    <row r="136" spans="1:14" x14ac:dyDescent="0.35">
      <c r="A136" s="6">
        <v>45282</v>
      </c>
      <c r="B136" t="s">
        <v>12</v>
      </c>
      <c r="C136" t="s">
        <v>24</v>
      </c>
      <c r="D136" t="s">
        <v>28</v>
      </c>
      <c r="E136" t="s">
        <v>39</v>
      </c>
      <c r="F136" s="4">
        <v>1</v>
      </c>
      <c r="G136" s="4">
        <v>22707.75</v>
      </c>
      <c r="H136" s="4">
        <v>15855.48</v>
      </c>
      <c r="I136" s="8">
        <v>0.15</v>
      </c>
      <c r="J136" s="4">
        <v>6852.27</v>
      </c>
      <c r="K136" s="4" t="str">
        <f t="shared" si="8"/>
        <v>December</v>
      </c>
      <c r="L136">
        <f t="shared" si="9"/>
        <v>12</v>
      </c>
      <c r="M136" s="9">
        <f t="shared" si="10"/>
        <v>0.30175909105921989</v>
      </c>
      <c r="N136" s="9">
        <f t="shared" si="11"/>
        <v>2.1028531621719153E-4</v>
      </c>
    </row>
    <row r="137" spans="1:14" x14ac:dyDescent="0.35">
      <c r="A137" s="6">
        <v>44977</v>
      </c>
      <c r="B137" t="s">
        <v>11</v>
      </c>
      <c r="C137" t="s">
        <v>16</v>
      </c>
      <c r="D137" t="s">
        <v>26</v>
      </c>
      <c r="E137" t="s">
        <v>43</v>
      </c>
      <c r="F137" s="4">
        <v>7</v>
      </c>
      <c r="G137" s="4">
        <v>167385.4</v>
      </c>
      <c r="H137" s="4">
        <v>107730.72</v>
      </c>
      <c r="I137" s="8">
        <v>0.15</v>
      </c>
      <c r="J137" s="4">
        <v>59654.68</v>
      </c>
      <c r="K137" s="4" t="str">
        <f t="shared" si="8"/>
        <v>February</v>
      </c>
      <c r="L137">
        <f t="shared" si="9"/>
        <v>2</v>
      </c>
      <c r="M137" s="9">
        <f t="shared" si="10"/>
        <v>0.35639117868105585</v>
      </c>
      <c r="N137" s="9">
        <f t="shared" si="11"/>
        <v>1.5500739513664317E-3</v>
      </c>
    </row>
    <row r="138" spans="1:14" x14ac:dyDescent="0.35">
      <c r="A138" s="6">
        <v>45272</v>
      </c>
      <c r="B138" t="s">
        <v>12</v>
      </c>
      <c r="C138" t="s">
        <v>24</v>
      </c>
      <c r="D138" t="s">
        <v>26</v>
      </c>
      <c r="E138" t="s">
        <v>43</v>
      </c>
      <c r="F138" s="4">
        <v>6</v>
      </c>
      <c r="G138" s="4">
        <v>290292</v>
      </c>
      <c r="H138" s="4">
        <v>167878.62</v>
      </c>
      <c r="I138" s="8">
        <v>0</v>
      </c>
      <c r="J138" s="4">
        <v>122413.38</v>
      </c>
      <c r="K138" s="4" t="str">
        <f t="shared" si="8"/>
        <v>December</v>
      </c>
      <c r="L138">
        <f t="shared" si="9"/>
        <v>12</v>
      </c>
      <c r="M138" s="9">
        <f t="shared" si="10"/>
        <v>0.42169050473316522</v>
      </c>
      <c r="N138" s="9">
        <f t="shared" si="11"/>
        <v>2.6882515887888918E-3</v>
      </c>
    </row>
    <row r="139" spans="1:14" x14ac:dyDescent="0.35">
      <c r="A139" s="6">
        <v>45075</v>
      </c>
      <c r="B139" t="s">
        <v>10</v>
      </c>
      <c r="C139" t="s">
        <v>19</v>
      </c>
      <c r="D139" t="s">
        <v>25</v>
      </c>
      <c r="E139" t="s">
        <v>33</v>
      </c>
      <c r="F139" s="4">
        <v>1</v>
      </c>
      <c r="G139" s="4">
        <v>31609.8</v>
      </c>
      <c r="H139" s="4">
        <v>22057.91</v>
      </c>
      <c r="I139" s="8">
        <v>0.1</v>
      </c>
      <c r="J139" s="4">
        <v>9551.89</v>
      </c>
      <c r="K139" s="4" t="str">
        <f t="shared" si="8"/>
        <v>May</v>
      </c>
      <c r="L139">
        <f t="shared" si="9"/>
        <v>5</v>
      </c>
      <c r="M139" s="9">
        <f t="shared" si="10"/>
        <v>0.30218128555068363</v>
      </c>
      <c r="N139" s="9">
        <f t="shared" si="11"/>
        <v>2.9272282760564919E-4</v>
      </c>
    </row>
    <row r="140" spans="1:14" x14ac:dyDescent="0.35">
      <c r="A140" s="6">
        <v>45217</v>
      </c>
      <c r="B140" t="s">
        <v>9</v>
      </c>
      <c r="C140" t="s">
        <v>13</v>
      </c>
      <c r="D140" t="s">
        <v>27</v>
      </c>
      <c r="E140" t="s">
        <v>38</v>
      </c>
      <c r="F140" s="4">
        <v>2</v>
      </c>
      <c r="G140" s="4">
        <v>63558.400000000001</v>
      </c>
      <c r="H140" s="4">
        <v>44550.01</v>
      </c>
      <c r="I140" s="8">
        <v>0.2</v>
      </c>
      <c r="J140" s="4">
        <v>19008.39</v>
      </c>
      <c r="K140" s="4" t="str">
        <f t="shared" si="8"/>
        <v>October</v>
      </c>
      <c r="L140">
        <f t="shared" si="9"/>
        <v>10</v>
      </c>
      <c r="M140" s="9">
        <f t="shared" si="10"/>
        <v>0.29906967450407812</v>
      </c>
      <c r="N140" s="9">
        <f t="shared" si="11"/>
        <v>5.8858311555564714E-4</v>
      </c>
    </row>
    <row r="141" spans="1:14" x14ac:dyDescent="0.35">
      <c r="A141" s="6">
        <v>45273</v>
      </c>
      <c r="B141" t="s">
        <v>9</v>
      </c>
      <c r="C141" t="s">
        <v>13</v>
      </c>
      <c r="D141" t="s">
        <v>28</v>
      </c>
      <c r="E141" t="s">
        <v>42</v>
      </c>
      <c r="F141" s="4">
        <v>6</v>
      </c>
      <c r="G141" s="4">
        <v>51738.9</v>
      </c>
      <c r="H141" s="4">
        <v>34675.89</v>
      </c>
      <c r="I141" s="8">
        <v>0.05</v>
      </c>
      <c r="J141" s="4">
        <v>17063.009999999998</v>
      </c>
      <c r="K141" s="4" t="str">
        <f t="shared" si="8"/>
        <v>December</v>
      </c>
      <c r="L141">
        <f t="shared" si="9"/>
        <v>12</v>
      </c>
      <c r="M141" s="9">
        <f t="shared" si="10"/>
        <v>0.32979073772345369</v>
      </c>
      <c r="N141" s="9">
        <f t="shared" si="11"/>
        <v>4.7912853308802728E-4</v>
      </c>
    </row>
    <row r="142" spans="1:14" x14ac:dyDescent="0.35">
      <c r="A142" s="6">
        <v>45124</v>
      </c>
      <c r="B142" t="s">
        <v>12</v>
      </c>
      <c r="C142" t="s">
        <v>21</v>
      </c>
      <c r="D142" t="s">
        <v>25</v>
      </c>
      <c r="E142" t="s">
        <v>37</v>
      </c>
      <c r="F142" s="4">
        <v>3</v>
      </c>
      <c r="G142" s="4">
        <v>41970</v>
      </c>
      <c r="H142" s="4">
        <v>28312.62</v>
      </c>
      <c r="I142" s="8">
        <v>0</v>
      </c>
      <c r="J142" s="4">
        <v>13657.38</v>
      </c>
      <c r="K142" s="4" t="str">
        <f t="shared" si="8"/>
        <v>July</v>
      </c>
      <c r="L142">
        <f t="shared" si="9"/>
        <v>7</v>
      </c>
      <c r="M142" s="9">
        <f t="shared" si="10"/>
        <v>0.32540814867762685</v>
      </c>
      <c r="N142" s="9">
        <f t="shared" si="11"/>
        <v>3.8866354974119091E-4</v>
      </c>
    </row>
    <row r="143" spans="1:14" x14ac:dyDescent="0.35">
      <c r="A143" s="6">
        <v>44975</v>
      </c>
      <c r="B143" t="s">
        <v>12</v>
      </c>
      <c r="C143" t="s">
        <v>23</v>
      </c>
      <c r="D143" t="s">
        <v>27</v>
      </c>
      <c r="E143" t="s">
        <v>38</v>
      </c>
      <c r="F143" s="4">
        <v>7</v>
      </c>
      <c r="G143" s="4">
        <v>34959.050000000003</v>
      </c>
      <c r="H143" s="4">
        <v>19341.919999999998</v>
      </c>
      <c r="I143" s="8">
        <v>0.05</v>
      </c>
      <c r="J143" s="4">
        <v>15617.13</v>
      </c>
      <c r="K143" s="4" t="str">
        <f t="shared" si="8"/>
        <v>February</v>
      </c>
      <c r="L143">
        <f t="shared" si="9"/>
        <v>2</v>
      </c>
      <c r="M143" s="9">
        <f t="shared" si="10"/>
        <v>0.44672638415517579</v>
      </c>
      <c r="N143" s="9">
        <f t="shared" si="11"/>
        <v>3.2373858633737867E-4</v>
      </c>
    </row>
    <row r="144" spans="1:14" x14ac:dyDescent="0.35">
      <c r="A144" s="6">
        <v>45286</v>
      </c>
      <c r="B144" t="s">
        <v>9</v>
      </c>
      <c r="C144" t="s">
        <v>13</v>
      </c>
      <c r="D144" t="s">
        <v>26</v>
      </c>
      <c r="E144" t="s">
        <v>43</v>
      </c>
      <c r="F144" s="4">
        <v>1</v>
      </c>
      <c r="G144" s="4">
        <v>31884.35</v>
      </c>
      <c r="H144" s="4">
        <v>21801.48</v>
      </c>
      <c r="I144" s="8">
        <v>0.15</v>
      </c>
      <c r="J144" s="4">
        <v>10082.870000000001</v>
      </c>
      <c r="K144" s="4" t="str">
        <f t="shared" si="8"/>
        <v>December</v>
      </c>
      <c r="L144">
        <f t="shared" si="9"/>
        <v>12</v>
      </c>
      <c r="M144" s="9">
        <f t="shared" si="10"/>
        <v>0.31623257177894487</v>
      </c>
      <c r="N144" s="9">
        <f t="shared" si="11"/>
        <v>2.9526530026663188E-4</v>
      </c>
    </row>
    <row r="145" spans="1:14" x14ac:dyDescent="0.35">
      <c r="A145" s="6">
        <v>45137</v>
      </c>
      <c r="B145" t="s">
        <v>12</v>
      </c>
      <c r="C145" t="s">
        <v>21</v>
      </c>
      <c r="D145" t="s">
        <v>27</v>
      </c>
      <c r="E145" t="s">
        <v>31</v>
      </c>
      <c r="F145" s="4">
        <v>5</v>
      </c>
      <c r="G145" s="4">
        <v>191020.5</v>
      </c>
      <c r="H145" s="4">
        <v>115085.34</v>
      </c>
      <c r="I145" s="8">
        <v>0.1</v>
      </c>
      <c r="J145" s="4">
        <v>75935.16</v>
      </c>
      <c r="K145" s="4" t="str">
        <f t="shared" si="8"/>
        <v>July</v>
      </c>
      <c r="L145">
        <f t="shared" si="9"/>
        <v>7</v>
      </c>
      <c r="M145" s="9">
        <f t="shared" si="10"/>
        <v>0.39752361657518437</v>
      </c>
      <c r="N145" s="9">
        <f t="shared" si="11"/>
        <v>1.7689470003177785E-3</v>
      </c>
    </row>
    <row r="146" spans="1:14" x14ac:dyDescent="0.35">
      <c r="A146" s="6">
        <v>45004</v>
      </c>
      <c r="B146" t="s">
        <v>10</v>
      </c>
      <c r="C146" t="s">
        <v>19</v>
      </c>
      <c r="D146" t="s">
        <v>27</v>
      </c>
      <c r="E146" t="s">
        <v>38</v>
      </c>
      <c r="F146" s="4">
        <v>5</v>
      </c>
      <c r="G146" s="4">
        <v>193320</v>
      </c>
      <c r="H146" s="4">
        <v>109501.7</v>
      </c>
      <c r="I146" s="8">
        <v>0.1</v>
      </c>
      <c r="J146" s="4">
        <v>83818.3</v>
      </c>
      <c r="K146" s="4" t="str">
        <f t="shared" si="8"/>
        <v>March</v>
      </c>
      <c r="L146">
        <f t="shared" si="9"/>
        <v>3</v>
      </c>
      <c r="M146" s="9">
        <f t="shared" si="10"/>
        <v>0.43357283260914548</v>
      </c>
      <c r="N146" s="9">
        <f t="shared" si="11"/>
        <v>1.7902415400516329E-3</v>
      </c>
    </row>
    <row r="147" spans="1:14" x14ac:dyDescent="0.35">
      <c r="A147" s="6">
        <v>45245</v>
      </c>
      <c r="B147" t="s">
        <v>9</v>
      </c>
      <c r="C147" t="s">
        <v>15</v>
      </c>
      <c r="D147" t="s">
        <v>28</v>
      </c>
      <c r="E147" t="s">
        <v>36</v>
      </c>
      <c r="F147" s="4">
        <v>6</v>
      </c>
      <c r="G147" s="4">
        <v>219450</v>
      </c>
      <c r="H147" s="4">
        <v>147964.82</v>
      </c>
      <c r="I147" s="8">
        <v>0.05</v>
      </c>
      <c r="J147" s="4">
        <v>71485.179999999993</v>
      </c>
      <c r="K147" s="4" t="str">
        <f t="shared" si="8"/>
        <v>November</v>
      </c>
      <c r="L147">
        <f t="shared" si="9"/>
        <v>11</v>
      </c>
      <c r="M147" s="9">
        <f t="shared" si="10"/>
        <v>0.32574700387331962</v>
      </c>
      <c r="N147" s="9">
        <f t="shared" si="11"/>
        <v>2.0322186321349617E-3</v>
      </c>
    </row>
    <row r="148" spans="1:14" x14ac:dyDescent="0.35">
      <c r="A148" s="6">
        <v>45088</v>
      </c>
      <c r="B148" t="s">
        <v>11</v>
      </c>
      <c r="C148" t="s">
        <v>16</v>
      </c>
      <c r="D148" t="s">
        <v>26</v>
      </c>
      <c r="E148" t="s">
        <v>43</v>
      </c>
      <c r="F148" s="4">
        <v>7</v>
      </c>
      <c r="G148" s="4">
        <v>260227.8</v>
      </c>
      <c r="H148" s="4">
        <v>167411.66</v>
      </c>
      <c r="I148" s="8">
        <v>0.1</v>
      </c>
      <c r="J148" s="4">
        <v>92816.14</v>
      </c>
      <c r="K148" s="4" t="str">
        <f t="shared" si="8"/>
        <v>June</v>
      </c>
      <c r="L148">
        <f t="shared" si="9"/>
        <v>6</v>
      </c>
      <c r="M148" s="9">
        <f t="shared" si="10"/>
        <v>0.35667265372877149</v>
      </c>
      <c r="N148" s="9">
        <f t="shared" si="11"/>
        <v>2.4098418034153128E-3</v>
      </c>
    </row>
    <row r="149" spans="1:14" x14ac:dyDescent="0.35">
      <c r="A149" s="6">
        <v>44934</v>
      </c>
      <c r="B149" t="s">
        <v>11</v>
      </c>
      <c r="C149" t="s">
        <v>16</v>
      </c>
      <c r="D149" t="s">
        <v>25</v>
      </c>
      <c r="E149" t="s">
        <v>29</v>
      </c>
      <c r="F149" s="4">
        <v>4</v>
      </c>
      <c r="G149" s="4">
        <v>102216.2</v>
      </c>
      <c r="H149" s="4">
        <v>78374.11</v>
      </c>
      <c r="I149" s="8">
        <v>0.05</v>
      </c>
      <c r="J149" s="4">
        <v>23842.09</v>
      </c>
      <c r="K149" s="4" t="str">
        <f t="shared" si="8"/>
        <v>January</v>
      </c>
      <c r="L149">
        <f t="shared" si="9"/>
        <v>1</v>
      </c>
      <c r="M149" s="9">
        <f t="shared" si="10"/>
        <v>0.23325157851690828</v>
      </c>
      <c r="N149" s="9">
        <f t="shared" si="11"/>
        <v>9.4657400841209247E-4</v>
      </c>
    </row>
    <row r="150" spans="1:14" x14ac:dyDescent="0.35">
      <c r="A150" s="6">
        <v>45175</v>
      </c>
      <c r="B150" t="s">
        <v>12</v>
      </c>
      <c r="C150" t="s">
        <v>23</v>
      </c>
      <c r="D150" t="s">
        <v>25</v>
      </c>
      <c r="E150" t="s">
        <v>29</v>
      </c>
      <c r="F150" s="4">
        <v>7</v>
      </c>
      <c r="G150" s="4">
        <v>62619.199999999997</v>
      </c>
      <c r="H150" s="4">
        <v>43755.93</v>
      </c>
      <c r="I150" s="8">
        <v>0.2</v>
      </c>
      <c r="J150" s="4">
        <v>18863.27</v>
      </c>
      <c r="K150" s="4" t="str">
        <f t="shared" si="8"/>
        <v>September</v>
      </c>
      <c r="L150">
        <f t="shared" si="9"/>
        <v>9</v>
      </c>
      <c r="M150" s="9">
        <f t="shared" si="10"/>
        <v>0.30123779926923372</v>
      </c>
      <c r="N150" s="9">
        <f t="shared" si="11"/>
        <v>5.798856457935092E-4</v>
      </c>
    </row>
    <row r="151" spans="1:14" x14ac:dyDescent="0.35">
      <c r="A151" s="6">
        <v>45014</v>
      </c>
      <c r="B151" t="s">
        <v>9</v>
      </c>
      <c r="C151" t="s">
        <v>13</v>
      </c>
      <c r="D151" t="s">
        <v>25</v>
      </c>
      <c r="E151" t="s">
        <v>29</v>
      </c>
      <c r="F151" s="4">
        <v>1</v>
      </c>
      <c r="G151" s="4">
        <v>19531.05</v>
      </c>
      <c r="H151" s="4">
        <v>14674.24</v>
      </c>
      <c r="I151" s="8">
        <v>0.05</v>
      </c>
      <c r="J151" s="4">
        <v>4856.8100000000004</v>
      </c>
      <c r="K151" s="4" t="str">
        <f t="shared" si="8"/>
        <v>March</v>
      </c>
      <c r="L151">
        <f t="shared" si="9"/>
        <v>3</v>
      </c>
      <c r="M151" s="9">
        <f t="shared" si="10"/>
        <v>0.24867121839327638</v>
      </c>
      <c r="N151" s="9">
        <f t="shared" si="11"/>
        <v>1.8086745826001159E-4</v>
      </c>
    </row>
    <row r="152" spans="1:14" x14ac:dyDescent="0.35">
      <c r="A152" s="6">
        <v>45237</v>
      </c>
      <c r="B152" t="s">
        <v>10</v>
      </c>
      <c r="C152" t="s">
        <v>19</v>
      </c>
      <c r="D152" t="s">
        <v>25</v>
      </c>
      <c r="E152" t="s">
        <v>37</v>
      </c>
      <c r="F152" s="4">
        <v>4</v>
      </c>
      <c r="G152" s="4">
        <v>133196.79999999999</v>
      </c>
      <c r="H152" s="4">
        <v>86790.78</v>
      </c>
      <c r="I152" s="8">
        <v>0.2</v>
      </c>
      <c r="J152" s="4">
        <v>46406.02</v>
      </c>
      <c r="K152" s="4" t="str">
        <f t="shared" si="8"/>
        <v>November</v>
      </c>
      <c r="L152">
        <f t="shared" si="9"/>
        <v>11</v>
      </c>
      <c r="M152" s="9">
        <f t="shared" si="10"/>
        <v>0.34840191355948491</v>
      </c>
      <c r="N152" s="9">
        <f t="shared" si="11"/>
        <v>1.2334701239496654E-3</v>
      </c>
    </row>
    <row r="153" spans="1:14" x14ac:dyDescent="0.35">
      <c r="A153" s="6">
        <v>44962</v>
      </c>
      <c r="B153" t="s">
        <v>11</v>
      </c>
      <c r="C153" t="s">
        <v>18</v>
      </c>
      <c r="D153" t="s">
        <v>25</v>
      </c>
      <c r="E153" t="s">
        <v>32</v>
      </c>
      <c r="F153" s="4">
        <v>7</v>
      </c>
      <c r="G153" s="4">
        <v>92579.199999999997</v>
      </c>
      <c r="H153" s="4">
        <v>51532.639999999999</v>
      </c>
      <c r="I153" s="8">
        <v>0.2</v>
      </c>
      <c r="J153" s="4">
        <v>41046.559999999998</v>
      </c>
      <c r="K153" s="4" t="str">
        <f t="shared" si="8"/>
        <v>February</v>
      </c>
      <c r="L153">
        <f t="shared" si="9"/>
        <v>2</v>
      </c>
      <c r="M153" s="9">
        <f t="shared" si="10"/>
        <v>0.44336697659949537</v>
      </c>
      <c r="N153" s="9">
        <f t="shared" si="11"/>
        <v>8.5733048616153595E-4</v>
      </c>
    </row>
    <row r="154" spans="1:14" x14ac:dyDescent="0.35">
      <c r="A154" s="6">
        <v>45121</v>
      </c>
      <c r="B154" t="s">
        <v>12</v>
      </c>
      <c r="C154" t="s">
        <v>24</v>
      </c>
      <c r="D154" t="s">
        <v>28</v>
      </c>
      <c r="E154" t="s">
        <v>39</v>
      </c>
      <c r="F154" s="4">
        <v>7</v>
      </c>
      <c r="G154" s="4">
        <v>141229.20000000001</v>
      </c>
      <c r="H154" s="4">
        <v>89534.58</v>
      </c>
      <c r="I154" s="8">
        <v>0.15</v>
      </c>
      <c r="J154" s="4">
        <v>51694.62</v>
      </c>
      <c r="K154" s="4" t="str">
        <f t="shared" si="8"/>
        <v>July</v>
      </c>
      <c r="L154">
        <f t="shared" si="9"/>
        <v>7</v>
      </c>
      <c r="M154" s="9">
        <f t="shared" si="10"/>
        <v>0.36603351148346092</v>
      </c>
      <c r="N154" s="9">
        <f t="shared" si="11"/>
        <v>1.3078542339554113E-3</v>
      </c>
    </row>
    <row r="155" spans="1:14" x14ac:dyDescent="0.35">
      <c r="A155" s="6">
        <v>45281</v>
      </c>
      <c r="B155" t="s">
        <v>9</v>
      </c>
      <c r="C155" t="s">
        <v>15</v>
      </c>
      <c r="D155" t="s">
        <v>26</v>
      </c>
      <c r="E155" t="s">
        <v>30</v>
      </c>
      <c r="F155" s="4">
        <v>5</v>
      </c>
      <c r="G155" s="4">
        <v>170360</v>
      </c>
      <c r="H155" s="4">
        <v>112272.63</v>
      </c>
      <c r="I155" s="8">
        <v>0</v>
      </c>
      <c r="J155" s="4">
        <v>58087.37</v>
      </c>
      <c r="K155" s="4" t="str">
        <f t="shared" si="8"/>
        <v>December</v>
      </c>
      <c r="L155">
        <f t="shared" si="9"/>
        <v>12</v>
      </c>
      <c r="M155" s="9">
        <f t="shared" si="10"/>
        <v>0.34096836111763329</v>
      </c>
      <c r="N155" s="9">
        <f t="shared" si="11"/>
        <v>1.5776202605172571E-3</v>
      </c>
    </row>
    <row r="156" spans="1:14" x14ac:dyDescent="0.35">
      <c r="A156" s="6">
        <v>45054</v>
      </c>
      <c r="B156" t="s">
        <v>11</v>
      </c>
      <c r="C156" t="s">
        <v>18</v>
      </c>
      <c r="D156" t="s">
        <v>28</v>
      </c>
      <c r="E156" t="s">
        <v>44</v>
      </c>
      <c r="F156" s="4">
        <v>1</v>
      </c>
      <c r="G156" s="4">
        <v>43906.5</v>
      </c>
      <c r="H156" s="4">
        <v>33967.74</v>
      </c>
      <c r="I156" s="8">
        <v>0.1</v>
      </c>
      <c r="J156" s="4">
        <v>9938.76</v>
      </c>
      <c r="K156" s="4" t="str">
        <f t="shared" si="8"/>
        <v>May</v>
      </c>
      <c r="L156">
        <f t="shared" si="9"/>
        <v>5</v>
      </c>
      <c r="M156" s="9">
        <f t="shared" si="10"/>
        <v>0.22636192818830925</v>
      </c>
      <c r="N156" s="9">
        <f t="shared" si="11"/>
        <v>4.06596524820386E-4</v>
      </c>
    </row>
    <row r="157" spans="1:14" x14ac:dyDescent="0.35">
      <c r="A157" s="6">
        <v>45163</v>
      </c>
      <c r="B157" t="s">
        <v>11</v>
      </c>
      <c r="C157" t="s">
        <v>16</v>
      </c>
      <c r="D157" t="s">
        <v>28</v>
      </c>
      <c r="E157" t="s">
        <v>42</v>
      </c>
      <c r="F157" s="4">
        <v>1</v>
      </c>
      <c r="G157" s="4">
        <v>3073</v>
      </c>
      <c r="H157" s="4">
        <v>2106.2600000000002</v>
      </c>
      <c r="I157" s="8">
        <v>0</v>
      </c>
      <c r="J157" s="4">
        <v>966.74</v>
      </c>
      <c r="K157" s="4" t="str">
        <f t="shared" si="8"/>
        <v>August</v>
      </c>
      <c r="L157">
        <f t="shared" si="9"/>
        <v>8</v>
      </c>
      <c r="M157" s="9">
        <f t="shared" si="10"/>
        <v>0.31459160429547672</v>
      </c>
      <c r="N157" s="9">
        <f t="shared" si="11"/>
        <v>2.845754320597283E-5</v>
      </c>
    </row>
    <row r="158" spans="1:14" x14ac:dyDescent="0.35">
      <c r="A158" s="6">
        <v>45141</v>
      </c>
      <c r="B158" t="s">
        <v>12</v>
      </c>
      <c r="C158" t="s">
        <v>21</v>
      </c>
      <c r="D158" t="s">
        <v>27</v>
      </c>
      <c r="E158" t="s">
        <v>41</v>
      </c>
      <c r="F158" s="4">
        <v>6</v>
      </c>
      <c r="G158" s="4">
        <v>201124.8</v>
      </c>
      <c r="H158" s="4">
        <v>119250.88</v>
      </c>
      <c r="I158" s="8">
        <v>0.2</v>
      </c>
      <c r="J158" s="4">
        <v>81873.919999999998</v>
      </c>
      <c r="K158" s="4" t="str">
        <f t="shared" si="8"/>
        <v>August</v>
      </c>
      <c r="L158">
        <f t="shared" si="9"/>
        <v>8</v>
      </c>
      <c r="M158" s="9">
        <f t="shared" si="10"/>
        <v>0.40708018106170896</v>
      </c>
      <c r="N158" s="9">
        <f t="shared" si="11"/>
        <v>1.8625179582794156E-3</v>
      </c>
    </row>
    <row r="159" spans="1:14" x14ac:dyDescent="0.35">
      <c r="A159" s="6">
        <v>44960</v>
      </c>
      <c r="B159" t="s">
        <v>12</v>
      </c>
      <c r="C159" t="s">
        <v>21</v>
      </c>
      <c r="D159" t="s">
        <v>28</v>
      </c>
      <c r="E159" t="s">
        <v>36</v>
      </c>
      <c r="F159" s="4">
        <v>5</v>
      </c>
      <c r="G159" s="4">
        <v>115451.25</v>
      </c>
      <c r="H159" s="4">
        <v>77874.490000000005</v>
      </c>
      <c r="I159" s="8">
        <v>0.15</v>
      </c>
      <c r="J159" s="4">
        <v>37576.76</v>
      </c>
      <c r="K159" s="4" t="str">
        <f t="shared" si="8"/>
        <v>February</v>
      </c>
      <c r="L159">
        <f t="shared" si="9"/>
        <v>2</v>
      </c>
      <c r="M159" s="9">
        <f t="shared" si="10"/>
        <v>0.32547729019824384</v>
      </c>
      <c r="N159" s="9">
        <f t="shared" si="11"/>
        <v>1.0691373039565801E-3</v>
      </c>
    </row>
    <row r="160" spans="1:14" x14ac:dyDescent="0.35">
      <c r="A160" s="6">
        <v>44953</v>
      </c>
      <c r="B160" t="s">
        <v>12</v>
      </c>
      <c r="C160" t="s">
        <v>23</v>
      </c>
      <c r="D160" t="s">
        <v>27</v>
      </c>
      <c r="E160" t="s">
        <v>41</v>
      </c>
      <c r="F160" s="4">
        <v>2</v>
      </c>
      <c r="G160" s="4">
        <v>21400</v>
      </c>
      <c r="H160" s="4">
        <v>11828.83</v>
      </c>
      <c r="I160" s="8">
        <v>0.2</v>
      </c>
      <c r="J160" s="4">
        <v>9571.17</v>
      </c>
      <c r="K160" s="4" t="str">
        <f t="shared" si="8"/>
        <v>January</v>
      </c>
      <c r="L160">
        <f t="shared" si="9"/>
        <v>1</v>
      </c>
      <c r="M160" s="9">
        <f t="shared" si="10"/>
        <v>0.44725093457943926</v>
      </c>
      <c r="N160" s="9">
        <f t="shared" si="11"/>
        <v>1.9817488597716193E-4</v>
      </c>
    </row>
    <row r="161" spans="1:14" x14ac:dyDescent="0.35">
      <c r="A161" s="6">
        <v>45099</v>
      </c>
      <c r="B161" t="s">
        <v>12</v>
      </c>
      <c r="C161" t="s">
        <v>21</v>
      </c>
      <c r="D161" t="s">
        <v>28</v>
      </c>
      <c r="E161" t="s">
        <v>42</v>
      </c>
      <c r="F161" s="4">
        <v>2</v>
      </c>
      <c r="G161" s="4">
        <v>50379.199999999997</v>
      </c>
      <c r="H161" s="4">
        <v>36084.559999999998</v>
      </c>
      <c r="I161" s="8">
        <v>0.2</v>
      </c>
      <c r="J161" s="4">
        <v>14294.64</v>
      </c>
      <c r="K161" s="4" t="str">
        <f t="shared" si="8"/>
        <v>June</v>
      </c>
      <c r="L161">
        <f t="shared" si="9"/>
        <v>6</v>
      </c>
      <c r="M161" s="9">
        <f t="shared" si="10"/>
        <v>0.28374090894654935</v>
      </c>
      <c r="N161" s="9">
        <f t="shared" si="11"/>
        <v>4.6653701942152504E-4</v>
      </c>
    </row>
    <row r="162" spans="1:14" x14ac:dyDescent="0.35">
      <c r="A162" s="6">
        <v>45289</v>
      </c>
      <c r="B162" t="s">
        <v>12</v>
      </c>
      <c r="C162" t="s">
        <v>24</v>
      </c>
      <c r="D162" t="s">
        <v>27</v>
      </c>
      <c r="E162" t="s">
        <v>31</v>
      </c>
      <c r="F162" s="4">
        <v>6</v>
      </c>
      <c r="G162" s="4">
        <v>210312.9</v>
      </c>
      <c r="H162" s="4">
        <v>124414.98</v>
      </c>
      <c r="I162" s="8">
        <v>0.05</v>
      </c>
      <c r="J162" s="4">
        <v>85897.919999999998</v>
      </c>
      <c r="K162" s="4" t="str">
        <f t="shared" si="8"/>
        <v>December</v>
      </c>
      <c r="L162">
        <f t="shared" si="9"/>
        <v>12</v>
      </c>
      <c r="M162" s="9">
        <f t="shared" si="10"/>
        <v>0.40842915484499526</v>
      </c>
      <c r="N162" s="9">
        <f t="shared" si="11"/>
        <v>1.947604438178797E-3</v>
      </c>
    </row>
    <row r="163" spans="1:14" x14ac:dyDescent="0.35">
      <c r="A163" s="6">
        <v>45222</v>
      </c>
      <c r="B163" t="s">
        <v>12</v>
      </c>
      <c r="C163" t="s">
        <v>21</v>
      </c>
      <c r="D163" t="s">
        <v>27</v>
      </c>
      <c r="E163" t="s">
        <v>31</v>
      </c>
      <c r="F163" s="4">
        <v>3</v>
      </c>
      <c r="G163" s="4">
        <v>32594.400000000001</v>
      </c>
      <c r="H163" s="4">
        <v>21099.13</v>
      </c>
      <c r="I163" s="8">
        <v>0.2</v>
      </c>
      <c r="J163" s="4">
        <v>11495.27</v>
      </c>
      <c r="K163" s="4" t="str">
        <f t="shared" si="8"/>
        <v>October</v>
      </c>
      <c r="L163">
        <f t="shared" si="9"/>
        <v>10</v>
      </c>
      <c r="M163" s="9">
        <f t="shared" si="10"/>
        <v>0.35267622659107084</v>
      </c>
      <c r="N163" s="9">
        <f t="shared" si="11"/>
        <v>3.0184072446233674E-4</v>
      </c>
    </row>
    <row r="164" spans="1:14" x14ac:dyDescent="0.35">
      <c r="A164" s="6">
        <v>45176</v>
      </c>
      <c r="B164" t="s">
        <v>9</v>
      </c>
      <c r="C164" t="s">
        <v>13</v>
      </c>
      <c r="D164" t="s">
        <v>25</v>
      </c>
      <c r="E164" t="s">
        <v>29</v>
      </c>
      <c r="F164" s="4">
        <v>3</v>
      </c>
      <c r="G164" s="4">
        <v>70245.600000000006</v>
      </c>
      <c r="H164" s="4">
        <v>47130.49</v>
      </c>
      <c r="I164" s="8">
        <v>0.2</v>
      </c>
      <c r="J164" s="4">
        <v>23115.11</v>
      </c>
      <c r="K164" s="4" t="str">
        <f t="shared" si="8"/>
        <v>September</v>
      </c>
      <c r="L164">
        <f t="shared" si="9"/>
        <v>9</v>
      </c>
      <c r="M164" s="9">
        <f t="shared" si="10"/>
        <v>0.3290613219902741</v>
      </c>
      <c r="N164" s="9">
        <f t="shared" si="11"/>
        <v>6.5050998927090311E-4</v>
      </c>
    </row>
    <row r="165" spans="1:14" x14ac:dyDescent="0.35">
      <c r="A165" s="6">
        <v>45291</v>
      </c>
      <c r="B165" t="s">
        <v>11</v>
      </c>
      <c r="C165" t="s">
        <v>17</v>
      </c>
      <c r="D165" t="s">
        <v>26</v>
      </c>
      <c r="E165" t="s">
        <v>35</v>
      </c>
      <c r="F165" s="4">
        <v>3</v>
      </c>
      <c r="G165" s="4">
        <v>87714.9</v>
      </c>
      <c r="H165" s="4">
        <v>66803.839999999997</v>
      </c>
      <c r="I165" s="8">
        <v>0.1</v>
      </c>
      <c r="J165" s="4">
        <v>20911.060000000001</v>
      </c>
      <c r="K165" s="4" t="str">
        <f t="shared" si="8"/>
        <v>December</v>
      </c>
      <c r="L165">
        <f t="shared" si="9"/>
        <v>12</v>
      </c>
      <c r="M165" s="9">
        <f t="shared" si="10"/>
        <v>0.23839803727758913</v>
      </c>
      <c r="N165" s="9">
        <f t="shared" si="11"/>
        <v>8.1228459373823168E-4</v>
      </c>
    </row>
    <row r="166" spans="1:14" x14ac:dyDescent="0.35">
      <c r="A166" s="6">
        <v>44943</v>
      </c>
      <c r="B166" t="s">
        <v>9</v>
      </c>
      <c r="C166" t="s">
        <v>20</v>
      </c>
      <c r="D166" t="s">
        <v>27</v>
      </c>
      <c r="E166" t="s">
        <v>41</v>
      </c>
      <c r="F166" s="4">
        <v>2</v>
      </c>
      <c r="G166" s="4">
        <v>4048</v>
      </c>
      <c r="H166" s="4">
        <v>2302.44</v>
      </c>
      <c r="I166" s="8">
        <v>0</v>
      </c>
      <c r="J166" s="4">
        <v>1745.56</v>
      </c>
      <c r="K166" s="4" t="str">
        <f t="shared" si="8"/>
        <v>January</v>
      </c>
      <c r="L166">
        <f t="shared" si="9"/>
        <v>1</v>
      </c>
      <c r="M166" s="9">
        <f t="shared" si="10"/>
        <v>0.43121541501976285</v>
      </c>
      <c r="N166" s="9">
        <f t="shared" si="11"/>
        <v>3.7486539179231373E-5</v>
      </c>
    </row>
    <row r="167" spans="1:14" x14ac:dyDescent="0.35">
      <c r="A167" s="6">
        <v>45155</v>
      </c>
      <c r="B167" t="s">
        <v>12</v>
      </c>
      <c r="C167" t="s">
        <v>23</v>
      </c>
      <c r="D167" t="s">
        <v>27</v>
      </c>
      <c r="E167" t="s">
        <v>40</v>
      </c>
      <c r="F167" s="4">
        <v>2</v>
      </c>
      <c r="G167" s="4">
        <v>82044</v>
      </c>
      <c r="H167" s="4">
        <v>61924.81</v>
      </c>
      <c r="I167" s="8">
        <v>0.1</v>
      </c>
      <c r="J167" s="4">
        <v>20119.189999999999</v>
      </c>
      <c r="K167" s="4" t="str">
        <f t="shared" si="8"/>
        <v>August</v>
      </c>
      <c r="L167">
        <f t="shared" si="9"/>
        <v>8</v>
      </c>
      <c r="M167" s="9">
        <f t="shared" si="10"/>
        <v>0.24522439178977132</v>
      </c>
      <c r="N167" s="9">
        <f t="shared" si="11"/>
        <v>7.5976917500515293E-4</v>
      </c>
    </row>
    <row r="168" spans="1:14" x14ac:dyDescent="0.35">
      <c r="A168" s="6">
        <v>45231</v>
      </c>
      <c r="B168" t="s">
        <v>11</v>
      </c>
      <c r="C168" t="s">
        <v>17</v>
      </c>
      <c r="D168" t="s">
        <v>28</v>
      </c>
      <c r="E168" t="s">
        <v>36</v>
      </c>
      <c r="F168" s="4">
        <v>2</v>
      </c>
      <c r="G168" s="4">
        <v>42391.8</v>
      </c>
      <c r="H168" s="4">
        <v>26649.57</v>
      </c>
      <c r="I168" s="8">
        <v>0.1</v>
      </c>
      <c r="J168" s="4">
        <v>15742.23</v>
      </c>
      <c r="K168" s="4" t="str">
        <f t="shared" si="8"/>
        <v>November</v>
      </c>
      <c r="L168">
        <f t="shared" si="9"/>
        <v>11</v>
      </c>
      <c r="M168" s="9">
        <f t="shared" si="10"/>
        <v>0.3713508272826348</v>
      </c>
      <c r="N168" s="9">
        <f t="shared" si="11"/>
        <v>3.9256963230685298E-4</v>
      </c>
    </row>
    <row r="169" spans="1:14" x14ac:dyDescent="0.35">
      <c r="A169" s="6">
        <v>45075</v>
      </c>
      <c r="B169" t="s">
        <v>12</v>
      </c>
      <c r="C169" t="s">
        <v>23</v>
      </c>
      <c r="D169" t="s">
        <v>28</v>
      </c>
      <c r="E169" t="s">
        <v>39</v>
      </c>
      <c r="F169" s="4">
        <v>7</v>
      </c>
      <c r="G169" s="4">
        <v>132243.29999999999</v>
      </c>
      <c r="H169" s="4">
        <v>96941.77</v>
      </c>
      <c r="I169" s="8">
        <v>0.1</v>
      </c>
      <c r="J169" s="4">
        <v>35301.53</v>
      </c>
      <c r="K169" s="4" t="str">
        <f t="shared" si="8"/>
        <v>May</v>
      </c>
      <c r="L169">
        <f t="shared" si="9"/>
        <v>5</v>
      </c>
      <c r="M169" s="9">
        <f t="shared" si="10"/>
        <v>0.2669438073611291</v>
      </c>
      <c r="N169" s="9">
        <f t="shared" si="11"/>
        <v>1.2246402289132531E-3</v>
      </c>
    </row>
    <row r="170" spans="1:14" x14ac:dyDescent="0.35">
      <c r="A170" s="6">
        <v>45194</v>
      </c>
      <c r="B170" t="s">
        <v>12</v>
      </c>
      <c r="C170" t="s">
        <v>21</v>
      </c>
      <c r="D170" t="s">
        <v>27</v>
      </c>
      <c r="E170" t="s">
        <v>41</v>
      </c>
      <c r="F170" s="4">
        <v>6</v>
      </c>
      <c r="G170" s="4">
        <v>34914</v>
      </c>
      <c r="H170" s="4">
        <v>27087.71</v>
      </c>
      <c r="I170" s="8">
        <v>0</v>
      </c>
      <c r="J170" s="4">
        <v>7826.29</v>
      </c>
      <c r="K170" s="4" t="str">
        <f t="shared" si="8"/>
        <v>September</v>
      </c>
      <c r="L170">
        <f t="shared" si="9"/>
        <v>9</v>
      </c>
      <c r="M170" s="9">
        <f t="shared" si="10"/>
        <v>0.22415907658818812</v>
      </c>
      <c r="N170" s="9">
        <f t="shared" si="11"/>
        <v>3.2332140042087062E-4</v>
      </c>
    </row>
    <row r="171" spans="1:14" x14ac:dyDescent="0.35">
      <c r="A171" s="6">
        <v>45208</v>
      </c>
      <c r="B171" t="s">
        <v>9</v>
      </c>
      <c r="C171" t="s">
        <v>15</v>
      </c>
      <c r="D171" t="s">
        <v>28</v>
      </c>
      <c r="E171" t="s">
        <v>39</v>
      </c>
      <c r="F171" s="4">
        <v>5</v>
      </c>
      <c r="G171" s="4">
        <v>223805.75</v>
      </c>
      <c r="H171" s="4">
        <v>156007.37</v>
      </c>
      <c r="I171" s="8">
        <v>0.05</v>
      </c>
      <c r="J171" s="4">
        <v>67798.38</v>
      </c>
      <c r="K171" s="4" t="str">
        <f t="shared" si="8"/>
        <v>October</v>
      </c>
      <c r="L171">
        <f t="shared" si="9"/>
        <v>10</v>
      </c>
      <c r="M171" s="9">
        <f t="shared" si="10"/>
        <v>0.30293403989843876</v>
      </c>
      <c r="N171" s="9">
        <f t="shared" si="11"/>
        <v>2.0725550928637013E-3</v>
      </c>
    </row>
    <row r="172" spans="1:14" x14ac:dyDescent="0.35">
      <c r="A172" s="6">
        <v>45102</v>
      </c>
      <c r="B172" t="s">
        <v>12</v>
      </c>
      <c r="C172" t="s">
        <v>24</v>
      </c>
      <c r="D172" t="s">
        <v>28</v>
      </c>
      <c r="E172" t="s">
        <v>42</v>
      </c>
      <c r="F172" s="4">
        <v>6</v>
      </c>
      <c r="G172" s="4">
        <v>180950.39999999999</v>
      </c>
      <c r="H172" s="4">
        <v>132592.48000000001</v>
      </c>
      <c r="I172" s="8">
        <v>0.2</v>
      </c>
      <c r="J172" s="4">
        <v>48357.919999999998</v>
      </c>
      <c r="K172" s="4" t="str">
        <f t="shared" si="8"/>
        <v>June</v>
      </c>
      <c r="L172">
        <f t="shared" si="9"/>
        <v>6</v>
      </c>
      <c r="M172" s="9">
        <f t="shared" si="10"/>
        <v>0.26724406246131538</v>
      </c>
      <c r="N172" s="9">
        <f t="shared" si="11"/>
        <v>1.6756927517533569E-3</v>
      </c>
    </row>
    <row r="173" spans="1:14" x14ac:dyDescent="0.35">
      <c r="A173" s="6">
        <v>45029</v>
      </c>
      <c r="B173" t="s">
        <v>11</v>
      </c>
      <c r="C173" t="s">
        <v>18</v>
      </c>
      <c r="D173" t="s">
        <v>25</v>
      </c>
      <c r="E173" t="s">
        <v>29</v>
      </c>
      <c r="F173" s="4">
        <v>5</v>
      </c>
      <c r="G173" s="4">
        <v>30757.25</v>
      </c>
      <c r="H173" s="4">
        <v>23410.49</v>
      </c>
      <c r="I173" s="8">
        <v>0.15</v>
      </c>
      <c r="J173" s="4">
        <v>7346.76</v>
      </c>
      <c r="K173" s="4" t="str">
        <f t="shared" si="8"/>
        <v>April</v>
      </c>
      <c r="L173">
        <f t="shared" si="9"/>
        <v>4</v>
      </c>
      <c r="M173" s="9">
        <f t="shared" si="10"/>
        <v>0.23886270716660302</v>
      </c>
      <c r="N173" s="9">
        <f t="shared" si="11"/>
        <v>2.8482778092154502E-4</v>
      </c>
    </row>
    <row r="174" spans="1:14" x14ac:dyDescent="0.35">
      <c r="A174" s="6">
        <v>45057</v>
      </c>
      <c r="B174" t="s">
        <v>12</v>
      </c>
      <c r="C174" t="s">
        <v>24</v>
      </c>
      <c r="D174" t="s">
        <v>25</v>
      </c>
      <c r="E174" t="s">
        <v>37</v>
      </c>
      <c r="F174" s="4">
        <v>3</v>
      </c>
      <c r="G174" s="4">
        <v>91634.25</v>
      </c>
      <c r="H174" s="4">
        <v>61419.27</v>
      </c>
      <c r="I174" s="8">
        <v>0.15</v>
      </c>
      <c r="J174" s="4">
        <v>30214.98</v>
      </c>
      <c r="K174" s="4" t="str">
        <f t="shared" si="8"/>
        <v>May</v>
      </c>
      <c r="L174">
        <f t="shared" si="9"/>
        <v>5</v>
      </c>
      <c r="M174" s="9">
        <f t="shared" si="10"/>
        <v>0.32973456977058252</v>
      </c>
      <c r="N174" s="9">
        <f t="shared" si="11"/>
        <v>8.4857976847442756E-4</v>
      </c>
    </row>
    <row r="175" spans="1:14" x14ac:dyDescent="0.35">
      <c r="A175" s="6">
        <v>44930</v>
      </c>
      <c r="B175" t="s">
        <v>12</v>
      </c>
      <c r="C175" t="s">
        <v>21</v>
      </c>
      <c r="D175" t="s">
        <v>26</v>
      </c>
      <c r="E175" t="s">
        <v>34</v>
      </c>
      <c r="F175" s="4">
        <v>7</v>
      </c>
      <c r="G175" s="4">
        <v>142859.5</v>
      </c>
      <c r="H175" s="4">
        <v>99016.91</v>
      </c>
      <c r="I175" s="8">
        <v>0.15</v>
      </c>
      <c r="J175" s="4">
        <v>43842.59</v>
      </c>
      <c r="K175" s="4" t="str">
        <f t="shared" si="8"/>
        <v>January</v>
      </c>
      <c r="L175">
        <f t="shared" si="9"/>
        <v>1</v>
      </c>
      <c r="M175" s="9">
        <f t="shared" si="10"/>
        <v>0.3068930662644066</v>
      </c>
      <c r="N175" s="9">
        <f t="shared" si="11"/>
        <v>1.3229516412735685E-3</v>
      </c>
    </row>
    <row r="176" spans="1:14" x14ac:dyDescent="0.35">
      <c r="A176" s="6">
        <v>45237</v>
      </c>
      <c r="B176" t="s">
        <v>12</v>
      </c>
      <c r="C176" t="s">
        <v>24</v>
      </c>
      <c r="D176" t="s">
        <v>27</v>
      </c>
      <c r="E176" t="s">
        <v>38</v>
      </c>
      <c r="F176" s="4">
        <v>2</v>
      </c>
      <c r="G176" s="4">
        <v>78060.800000000003</v>
      </c>
      <c r="H176" s="4">
        <v>54952.13</v>
      </c>
      <c r="I176" s="8">
        <v>0.2</v>
      </c>
      <c r="J176" s="4">
        <v>23108.67</v>
      </c>
      <c r="K176" s="4" t="str">
        <f t="shared" si="8"/>
        <v>November</v>
      </c>
      <c r="L176">
        <f t="shared" si="9"/>
        <v>11</v>
      </c>
      <c r="M176" s="9">
        <f t="shared" si="10"/>
        <v>0.29603424510125437</v>
      </c>
      <c r="N176" s="9">
        <f t="shared" si="11"/>
        <v>7.2288271678906733E-4</v>
      </c>
    </row>
    <row r="177" spans="1:14" x14ac:dyDescent="0.35">
      <c r="A177" s="6">
        <v>45022</v>
      </c>
      <c r="B177" t="s">
        <v>9</v>
      </c>
      <c r="C177" t="s">
        <v>20</v>
      </c>
      <c r="D177" t="s">
        <v>28</v>
      </c>
      <c r="E177" t="s">
        <v>36</v>
      </c>
      <c r="F177" s="4">
        <v>3</v>
      </c>
      <c r="G177" s="4">
        <v>71832</v>
      </c>
      <c r="H177" s="4">
        <v>49006.25</v>
      </c>
      <c r="I177" s="8">
        <v>0.2</v>
      </c>
      <c r="J177" s="4">
        <v>22825.75</v>
      </c>
      <c r="K177" s="4" t="str">
        <f t="shared" si="8"/>
        <v>April</v>
      </c>
      <c r="L177">
        <f t="shared" si="9"/>
        <v>4</v>
      </c>
      <c r="M177" s="9">
        <f t="shared" si="10"/>
        <v>0.31776575899320636</v>
      </c>
      <c r="N177" s="9">
        <f t="shared" si="11"/>
        <v>6.6520086025754653E-4</v>
      </c>
    </row>
    <row r="178" spans="1:14" x14ac:dyDescent="0.35">
      <c r="A178" s="6">
        <v>45171</v>
      </c>
      <c r="B178" t="s">
        <v>9</v>
      </c>
      <c r="C178" t="s">
        <v>15</v>
      </c>
      <c r="D178" t="s">
        <v>25</v>
      </c>
      <c r="E178" t="s">
        <v>32</v>
      </c>
      <c r="F178" s="4">
        <v>4</v>
      </c>
      <c r="G178" s="4">
        <v>182336</v>
      </c>
      <c r="H178" s="4">
        <v>118606.42</v>
      </c>
      <c r="I178" s="8">
        <v>0</v>
      </c>
      <c r="J178" s="4">
        <v>63729.58</v>
      </c>
      <c r="K178" s="4" t="str">
        <f t="shared" si="8"/>
        <v>September</v>
      </c>
      <c r="L178">
        <f t="shared" si="9"/>
        <v>9</v>
      </c>
      <c r="M178" s="9">
        <f t="shared" si="10"/>
        <v>0.34951726482976486</v>
      </c>
      <c r="N178" s="9">
        <f t="shared" si="11"/>
        <v>1.6885241125949438E-3</v>
      </c>
    </row>
    <row r="179" spans="1:14" x14ac:dyDescent="0.35">
      <c r="A179" s="6">
        <v>45285</v>
      </c>
      <c r="B179" t="s">
        <v>11</v>
      </c>
      <c r="C179" t="s">
        <v>16</v>
      </c>
      <c r="D179" t="s">
        <v>26</v>
      </c>
      <c r="E179" t="s">
        <v>30</v>
      </c>
      <c r="F179" s="4">
        <v>4</v>
      </c>
      <c r="G179" s="4">
        <v>42240.800000000003</v>
      </c>
      <c r="H179" s="4">
        <v>24200.799999999999</v>
      </c>
      <c r="I179" s="8">
        <v>0.05</v>
      </c>
      <c r="J179" s="4">
        <v>18040</v>
      </c>
      <c r="K179" s="4" t="str">
        <f t="shared" si="8"/>
        <v>December</v>
      </c>
      <c r="L179">
        <f t="shared" si="9"/>
        <v>12</v>
      </c>
      <c r="M179" s="9">
        <f t="shared" si="10"/>
        <v>0.42707524478703052</v>
      </c>
      <c r="N179" s="9">
        <f t="shared" si="11"/>
        <v>3.911712954945842E-4</v>
      </c>
    </row>
    <row r="180" spans="1:14" x14ac:dyDescent="0.35">
      <c r="A180" s="6">
        <v>45084</v>
      </c>
      <c r="B180" t="s">
        <v>11</v>
      </c>
      <c r="C180" t="s">
        <v>16</v>
      </c>
      <c r="D180" t="s">
        <v>27</v>
      </c>
      <c r="E180" t="s">
        <v>41</v>
      </c>
      <c r="F180" s="4">
        <v>1</v>
      </c>
      <c r="G180" s="4">
        <v>2040</v>
      </c>
      <c r="H180" s="4">
        <v>1302.8599999999999</v>
      </c>
      <c r="I180" s="8">
        <v>0.2</v>
      </c>
      <c r="J180" s="4">
        <v>737.14</v>
      </c>
      <c r="K180" s="4" t="str">
        <f t="shared" si="8"/>
        <v>June</v>
      </c>
      <c r="L180">
        <f t="shared" si="9"/>
        <v>6</v>
      </c>
      <c r="M180" s="9">
        <f t="shared" si="10"/>
        <v>0.36134313725490197</v>
      </c>
      <c r="N180" s="9">
        <f t="shared" si="11"/>
        <v>1.8891437728664035E-5</v>
      </c>
    </row>
    <row r="181" spans="1:14" x14ac:dyDescent="0.35">
      <c r="A181" s="6">
        <v>44999</v>
      </c>
      <c r="B181" t="s">
        <v>10</v>
      </c>
      <c r="C181" t="s">
        <v>19</v>
      </c>
      <c r="D181" t="s">
        <v>28</v>
      </c>
      <c r="E181" t="s">
        <v>39</v>
      </c>
      <c r="F181" s="4">
        <v>1</v>
      </c>
      <c r="G181" s="4">
        <v>20624</v>
      </c>
      <c r="H181" s="4">
        <v>16435.900000000001</v>
      </c>
      <c r="I181" s="8">
        <v>0.2</v>
      </c>
      <c r="J181" s="4">
        <v>4188.1000000000004</v>
      </c>
      <c r="K181" s="4" t="str">
        <f t="shared" si="8"/>
        <v>March</v>
      </c>
      <c r="L181">
        <f t="shared" si="9"/>
        <v>3</v>
      </c>
      <c r="M181" s="9">
        <f t="shared" si="10"/>
        <v>0.20306923972071375</v>
      </c>
      <c r="N181" s="9">
        <f t="shared" si="11"/>
        <v>1.9098873123331718E-4</v>
      </c>
    </row>
    <row r="182" spans="1:14" x14ac:dyDescent="0.35">
      <c r="A182" s="6">
        <v>44987</v>
      </c>
      <c r="B182" t="s">
        <v>9</v>
      </c>
      <c r="C182" t="s">
        <v>13</v>
      </c>
      <c r="D182" t="s">
        <v>27</v>
      </c>
      <c r="E182" t="s">
        <v>31</v>
      </c>
      <c r="F182" s="4">
        <v>4</v>
      </c>
      <c r="G182" s="4">
        <v>116578.8</v>
      </c>
      <c r="H182" s="4">
        <v>91804.67</v>
      </c>
      <c r="I182" s="8">
        <v>0.1</v>
      </c>
      <c r="J182" s="4">
        <v>24774.13</v>
      </c>
      <c r="K182" s="4" t="str">
        <f t="shared" si="8"/>
        <v>March</v>
      </c>
      <c r="L182">
        <f t="shared" si="9"/>
        <v>3</v>
      </c>
      <c r="M182" s="9">
        <f t="shared" si="10"/>
        <v>0.21250973590395508</v>
      </c>
      <c r="N182" s="9">
        <f t="shared" si="11"/>
        <v>1.0795789905305778E-3</v>
      </c>
    </row>
    <row r="183" spans="1:14" x14ac:dyDescent="0.35">
      <c r="A183" s="6">
        <v>45125</v>
      </c>
      <c r="B183" t="s">
        <v>12</v>
      </c>
      <c r="C183" t="s">
        <v>21</v>
      </c>
      <c r="D183" t="s">
        <v>26</v>
      </c>
      <c r="E183" t="s">
        <v>34</v>
      </c>
      <c r="F183" s="4">
        <v>7</v>
      </c>
      <c r="G183" s="4">
        <v>232232</v>
      </c>
      <c r="H183" s="4">
        <v>185157.7</v>
      </c>
      <c r="I183" s="8">
        <v>0.2</v>
      </c>
      <c r="J183" s="4">
        <v>47074.3</v>
      </c>
      <c r="K183" s="4" t="str">
        <f t="shared" si="8"/>
        <v>July</v>
      </c>
      <c r="L183">
        <f t="shared" si="9"/>
        <v>7</v>
      </c>
      <c r="M183" s="9">
        <f t="shared" si="10"/>
        <v>0.20270376175548591</v>
      </c>
      <c r="N183" s="9">
        <f t="shared" si="11"/>
        <v>2.1505864542172089E-3</v>
      </c>
    </row>
    <row r="184" spans="1:14" x14ac:dyDescent="0.35">
      <c r="A184" s="6">
        <v>45256</v>
      </c>
      <c r="B184" t="s">
        <v>11</v>
      </c>
      <c r="C184" t="s">
        <v>17</v>
      </c>
      <c r="D184" t="s">
        <v>26</v>
      </c>
      <c r="E184" t="s">
        <v>30</v>
      </c>
      <c r="F184" s="4">
        <v>5</v>
      </c>
      <c r="G184" s="4">
        <v>65736</v>
      </c>
      <c r="H184" s="4">
        <v>49805.58</v>
      </c>
      <c r="I184" s="8">
        <v>0.2</v>
      </c>
      <c r="J184" s="4">
        <v>15930.42</v>
      </c>
      <c r="K184" s="4" t="str">
        <f t="shared" si="8"/>
        <v>November</v>
      </c>
      <c r="L184">
        <f t="shared" si="9"/>
        <v>11</v>
      </c>
      <c r="M184" s="9">
        <f t="shared" si="10"/>
        <v>0.24233935742971888</v>
      </c>
      <c r="N184" s="9">
        <f t="shared" si="11"/>
        <v>6.0874879928012689E-4</v>
      </c>
    </row>
    <row r="185" spans="1:14" x14ac:dyDescent="0.35">
      <c r="A185" s="6">
        <v>45188</v>
      </c>
      <c r="B185" t="s">
        <v>9</v>
      </c>
      <c r="C185" t="s">
        <v>20</v>
      </c>
      <c r="D185" t="s">
        <v>27</v>
      </c>
      <c r="E185" t="s">
        <v>41</v>
      </c>
      <c r="F185" s="4">
        <v>1</v>
      </c>
      <c r="G185" s="4">
        <v>26482.2</v>
      </c>
      <c r="H185" s="4">
        <v>19726.490000000002</v>
      </c>
      <c r="I185" s="8">
        <v>0.05</v>
      </c>
      <c r="J185" s="4">
        <v>6755.71</v>
      </c>
      <c r="K185" s="4" t="str">
        <f t="shared" si="8"/>
        <v>September</v>
      </c>
      <c r="L185">
        <f t="shared" si="9"/>
        <v>9</v>
      </c>
      <c r="M185" s="9">
        <f t="shared" si="10"/>
        <v>0.25510380557506551</v>
      </c>
      <c r="N185" s="9">
        <f t="shared" si="11"/>
        <v>2.452386432441307E-4</v>
      </c>
    </row>
    <row r="186" spans="1:14" x14ac:dyDescent="0.35">
      <c r="A186" s="6">
        <v>45167</v>
      </c>
      <c r="B186" t="s">
        <v>12</v>
      </c>
      <c r="C186" t="s">
        <v>23</v>
      </c>
      <c r="D186" t="s">
        <v>28</v>
      </c>
      <c r="E186" t="s">
        <v>42</v>
      </c>
      <c r="F186" s="4">
        <v>7</v>
      </c>
      <c r="G186" s="4">
        <v>296730</v>
      </c>
      <c r="H186" s="4">
        <v>207508.78</v>
      </c>
      <c r="I186" s="8">
        <v>0.1</v>
      </c>
      <c r="J186" s="4">
        <v>89221.22</v>
      </c>
      <c r="K186" s="4" t="str">
        <f t="shared" si="8"/>
        <v>August</v>
      </c>
      <c r="L186">
        <f t="shared" si="9"/>
        <v>8</v>
      </c>
      <c r="M186" s="9">
        <f t="shared" si="10"/>
        <v>0.30068149496174973</v>
      </c>
      <c r="N186" s="9">
        <f t="shared" si="11"/>
        <v>2.74787074373847E-3</v>
      </c>
    </row>
    <row r="187" spans="1:14" x14ac:dyDescent="0.35">
      <c r="A187" s="6">
        <v>45086</v>
      </c>
      <c r="B187" t="s">
        <v>12</v>
      </c>
      <c r="C187" t="s">
        <v>21</v>
      </c>
      <c r="D187" t="s">
        <v>28</v>
      </c>
      <c r="E187" t="s">
        <v>42</v>
      </c>
      <c r="F187" s="4">
        <v>2</v>
      </c>
      <c r="G187" s="4">
        <v>51850</v>
      </c>
      <c r="H187" s="4">
        <v>30512.38</v>
      </c>
      <c r="I187" s="8">
        <v>0</v>
      </c>
      <c r="J187" s="4">
        <v>21337.62</v>
      </c>
      <c r="K187" s="4" t="str">
        <f t="shared" si="8"/>
        <v>June</v>
      </c>
      <c r="L187">
        <f t="shared" si="9"/>
        <v>6</v>
      </c>
      <c r="M187" s="9">
        <f t="shared" si="10"/>
        <v>0.41152594021215039</v>
      </c>
      <c r="N187" s="9">
        <f t="shared" si="11"/>
        <v>4.8015737560354419E-4</v>
      </c>
    </row>
    <row r="188" spans="1:14" x14ac:dyDescent="0.35">
      <c r="A188" s="6">
        <v>45283</v>
      </c>
      <c r="B188" t="s">
        <v>9</v>
      </c>
      <c r="C188" t="s">
        <v>20</v>
      </c>
      <c r="D188" t="s">
        <v>27</v>
      </c>
      <c r="E188" t="s">
        <v>31</v>
      </c>
      <c r="F188" s="4">
        <v>5</v>
      </c>
      <c r="G188" s="4">
        <v>53610</v>
      </c>
      <c r="H188" s="4">
        <v>37432.379999999997</v>
      </c>
      <c r="I188" s="8">
        <v>0</v>
      </c>
      <c r="J188" s="4">
        <v>16177.62</v>
      </c>
      <c r="K188" s="4" t="str">
        <f t="shared" si="8"/>
        <v>December</v>
      </c>
      <c r="L188">
        <f t="shared" si="9"/>
        <v>12</v>
      </c>
      <c r="M188" s="9">
        <f t="shared" si="10"/>
        <v>0.30176496922216006</v>
      </c>
      <c r="N188" s="9">
        <f t="shared" si="11"/>
        <v>4.9645587089886217E-4</v>
      </c>
    </row>
    <row r="189" spans="1:14" x14ac:dyDescent="0.35">
      <c r="A189" s="6">
        <v>45121</v>
      </c>
      <c r="B189" t="s">
        <v>10</v>
      </c>
      <c r="C189" t="s">
        <v>22</v>
      </c>
      <c r="D189" t="s">
        <v>27</v>
      </c>
      <c r="E189" t="s">
        <v>31</v>
      </c>
      <c r="F189" s="4">
        <v>3</v>
      </c>
      <c r="G189" s="4">
        <v>112562.1</v>
      </c>
      <c r="H189" s="4">
        <v>75323.09</v>
      </c>
      <c r="I189" s="8">
        <v>0.15</v>
      </c>
      <c r="J189" s="4">
        <v>37239.01</v>
      </c>
      <c r="K189" s="4" t="str">
        <f t="shared" si="8"/>
        <v>July</v>
      </c>
      <c r="L189">
        <f t="shared" si="9"/>
        <v>7</v>
      </c>
      <c r="M189" s="9">
        <f t="shared" si="10"/>
        <v>0.33083080361862477</v>
      </c>
      <c r="N189" s="9">
        <f t="shared" si="11"/>
        <v>1.0423823052733597E-3</v>
      </c>
    </row>
    <row r="190" spans="1:14" x14ac:dyDescent="0.35">
      <c r="A190" s="6">
        <v>45152</v>
      </c>
      <c r="B190" t="s">
        <v>12</v>
      </c>
      <c r="C190" t="s">
        <v>24</v>
      </c>
      <c r="D190" t="s">
        <v>26</v>
      </c>
      <c r="E190" t="s">
        <v>34</v>
      </c>
      <c r="F190" s="4">
        <v>1</v>
      </c>
      <c r="G190" s="4">
        <v>47042</v>
      </c>
      <c r="H190" s="4">
        <v>32351.46</v>
      </c>
      <c r="I190" s="8">
        <v>0</v>
      </c>
      <c r="J190" s="4">
        <v>14690.54</v>
      </c>
      <c r="K190" s="4" t="str">
        <f t="shared" si="8"/>
        <v>August</v>
      </c>
      <c r="L190">
        <f t="shared" si="9"/>
        <v>8</v>
      </c>
      <c r="M190" s="9">
        <f t="shared" si="10"/>
        <v>0.31228561710811614</v>
      </c>
      <c r="N190" s="9">
        <f t="shared" si="11"/>
        <v>4.3563284981951639E-4</v>
      </c>
    </row>
    <row r="191" spans="1:14" x14ac:dyDescent="0.35">
      <c r="A191" s="6">
        <v>44963</v>
      </c>
      <c r="B191" t="s">
        <v>11</v>
      </c>
      <c r="C191" t="s">
        <v>17</v>
      </c>
      <c r="D191" t="s">
        <v>28</v>
      </c>
      <c r="E191" t="s">
        <v>44</v>
      </c>
      <c r="F191" s="4">
        <v>3</v>
      </c>
      <c r="G191" s="4">
        <v>12745.2</v>
      </c>
      <c r="H191" s="4">
        <v>8706.89</v>
      </c>
      <c r="I191" s="8">
        <v>0.05</v>
      </c>
      <c r="J191" s="4">
        <v>4038.31</v>
      </c>
      <c r="K191" s="4" t="str">
        <f t="shared" si="8"/>
        <v>February</v>
      </c>
      <c r="L191">
        <f t="shared" si="9"/>
        <v>2</v>
      </c>
      <c r="M191" s="9">
        <f t="shared" si="10"/>
        <v>0.31684948058877066</v>
      </c>
      <c r="N191" s="9">
        <f t="shared" si="11"/>
        <v>1.1802703536243572E-4</v>
      </c>
    </row>
    <row r="192" spans="1:14" x14ac:dyDescent="0.35">
      <c r="A192" s="6">
        <v>45150</v>
      </c>
      <c r="B192" t="s">
        <v>11</v>
      </c>
      <c r="C192" t="s">
        <v>16</v>
      </c>
      <c r="D192" t="s">
        <v>26</v>
      </c>
      <c r="E192" t="s">
        <v>43</v>
      </c>
      <c r="F192" s="4">
        <v>5</v>
      </c>
      <c r="G192" s="4">
        <v>219203</v>
      </c>
      <c r="H192" s="4">
        <v>147696.04999999999</v>
      </c>
      <c r="I192" s="8">
        <v>0.05</v>
      </c>
      <c r="J192" s="4">
        <v>71506.95</v>
      </c>
      <c r="K192" s="4" t="str">
        <f t="shared" si="8"/>
        <v>August</v>
      </c>
      <c r="L192">
        <f t="shared" si="9"/>
        <v>8</v>
      </c>
      <c r="M192" s="9">
        <f t="shared" si="10"/>
        <v>0.32621337299215797</v>
      </c>
      <c r="N192" s="9">
        <f t="shared" si="11"/>
        <v>2.0299312864884029E-3</v>
      </c>
    </row>
    <row r="193" spans="1:14" x14ac:dyDescent="0.35">
      <c r="A193" s="6">
        <v>45163</v>
      </c>
      <c r="B193" t="s">
        <v>10</v>
      </c>
      <c r="C193" t="s">
        <v>14</v>
      </c>
      <c r="D193" t="s">
        <v>25</v>
      </c>
      <c r="E193" t="s">
        <v>32</v>
      </c>
      <c r="F193" s="4">
        <v>3</v>
      </c>
      <c r="G193" s="4">
        <v>5959.35</v>
      </c>
      <c r="H193" s="4">
        <v>4087.78</v>
      </c>
      <c r="I193" s="8">
        <v>0.05</v>
      </c>
      <c r="J193" s="4">
        <v>1871.57</v>
      </c>
      <c r="K193" s="4" t="str">
        <f t="shared" si="8"/>
        <v>August</v>
      </c>
      <c r="L193">
        <f t="shared" si="9"/>
        <v>8</v>
      </c>
      <c r="M193" s="9">
        <f t="shared" si="10"/>
        <v>0.31405606316125079</v>
      </c>
      <c r="N193" s="9">
        <f t="shared" si="11"/>
        <v>5.518661246485981E-5</v>
      </c>
    </row>
    <row r="194" spans="1:14" x14ac:dyDescent="0.35">
      <c r="A194" s="6">
        <v>45095</v>
      </c>
      <c r="B194" t="s">
        <v>12</v>
      </c>
      <c r="C194" t="s">
        <v>24</v>
      </c>
      <c r="D194" t="s">
        <v>26</v>
      </c>
      <c r="E194" t="s">
        <v>35</v>
      </c>
      <c r="F194" s="4">
        <v>4</v>
      </c>
      <c r="G194" s="4">
        <v>172641.6</v>
      </c>
      <c r="H194" s="4">
        <v>132385.64000000001</v>
      </c>
      <c r="I194" s="8">
        <v>0.1</v>
      </c>
      <c r="J194" s="4">
        <v>40255.96</v>
      </c>
      <c r="K194" s="4" t="str">
        <f t="shared" si="8"/>
        <v>June</v>
      </c>
      <c r="L194">
        <f t="shared" si="9"/>
        <v>6</v>
      </c>
      <c r="M194" s="9">
        <f t="shared" si="10"/>
        <v>0.23317647658501772</v>
      </c>
      <c r="N194" s="9">
        <f t="shared" si="11"/>
        <v>1.5987490371455514E-3</v>
      </c>
    </row>
    <row r="195" spans="1:14" x14ac:dyDescent="0.35">
      <c r="A195" s="6">
        <v>45114</v>
      </c>
      <c r="B195" t="s">
        <v>12</v>
      </c>
      <c r="C195" t="s">
        <v>21</v>
      </c>
      <c r="D195" t="s">
        <v>27</v>
      </c>
      <c r="E195" t="s">
        <v>38</v>
      </c>
      <c r="F195" s="4">
        <v>5</v>
      </c>
      <c r="G195" s="4">
        <v>198683.25</v>
      </c>
      <c r="H195" s="4">
        <v>140002.72</v>
      </c>
      <c r="I195" s="8">
        <v>0.15</v>
      </c>
      <c r="J195" s="4">
        <v>58680.53</v>
      </c>
      <c r="K195" s="4" t="str">
        <f t="shared" ref="K195:K258" si="12">TEXT(A195,"mmmm")</f>
        <v>July</v>
      </c>
      <c r="L195">
        <f t="shared" ref="L195:L258" si="13">MONTH(A195)</f>
        <v>7</v>
      </c>
      <c r="M195" s="9">
        <f t="shared" ref="M195:M258" si="14">J195/G195</f>
        <v>0.29534714174446008</v>
      </c>
      <c r="N195" s="9">
        <f t="shared" ref="N195:N258" si="15">G195/SUM(G:G)</f>
        <v>1.8399079632860727E-3</v>
      </c>
    </row>
    <row r="196" spans="1:14" x14ac:dyDescent="0.35">
      <c r="A196" s="6">
        <v>45086</v>
      </c>
      <c r="B196" t="s">
        <v>9</v>
      </c>
      <c r="C196" t="s">
        <v>13</v>
      </c>
      <c r="D196" t="s">
        <v>25</v>
      </c>
      <c r="E196" t="s">
        <v>33</v>
      </c>
      <c r="F196" s="4">
        <v>2</v>
      </c>
      <c r="G196" s="4">
        <v>5954.4</v>
      </c>
      <c r="H196" s="4">
        <v>4583.51</v>
      </c>
      <c r="I196" s="8">
        <v>0.1</v>
      </c>
      <c r="J196" s="4">
        <v>1370.89</v>
      </c>
      <c r="K196" s="4" t="str">
        <f t="shared" si="12"/>
        <v>June</v>
      </c>
      <c r="L196">
        <f t="shared" si="13"/>
        <v>6</v>
      </c>
      <c r="M196" s="9">
        <f t="shared" si="14"/>
        <v>0.23023142550047027</v>
      </c>
      <c r="N196" s="9">
        <f t="shared" si="15"/>
        <v>5.5140772946841722E-5</v>
      </c>
    </row>
    <row r="197" spans="1:14" x14ac:dyDescent="0.35">
      <c r="A197" s="6">
        <v>45003</v>
      </c>
      <c r="B197" t="s">
        <v>9</v>
      </c>
      <c r="C197" t="s">
        <v>13</v>
      </c>
      <c r="D197" t="s">
        <v>28</v>
      </c>
      <c r="E197" t="s">
        <v>42</v>
      </c>
      <c r="F197" s="4">
        <v>7</v>
      </c>
      <c r="G197" s="4">
        <v>161869.75</v>
      </c>
      <c r="H197" s="4">
        <v>111535.61</v>
      </c>
      <c r="I197" s="8">
        <v>0.15</v>
      </c>
      <c r="J197" s="4">
        <v>50334.14</v>
      </c>
      <c r="K197" s="4" t="str">
        <f t="shared" si="12"/>
        <v>March</v>
      </c>
      <c r="L197">
        <f t="shared" si="13"/>
        <v>3</v>
      </c>
      <c r="M197" s="9">
        <f t="shared" si="14"/>
        <v>0.31095457922187436</v>
      </c>
      <c r="N197" s="9">
        <f t="shared" si="15"/>
        <v>1.4989962266075563E-3</v>
      </c>
    </row>
    <row r="198" spans="1:14" x14ac:dyDescent="0.35">
      <c r="A198" s="6">
        <v>45286</v>
      </c>
      <c r="B198" t="s">
        <v>12</v>
      </c>
      <c r="C198" t="s">
        <v>21</v>
      </c>
      <c r="D198" t="s">
        <v>28</v>
      </c>
      <c r="E198" t="s">
        <v>44</v>
      </c>
      <c r="F198" s="4">
        <v>5</v>
      </c>
      <c r="G198" s="4">
        <v>51910</v>
      </c>
      <c r="H198" s="4">
        <v>35815.879999999997</v>
      </c>
      <c r="I198" s="8">
        <v>0</v>
      </c>
      <c r="J198" s="4">
        <v>16094.12</v>
      </c>
      <c r="K198" s="4" t="str">
        <f t="shared" si="12"/>
        <v>December</v>
      </c>
      <c r="L198">
        <f t="shared" si="13"/>
        <v>12</v>
      </c>
      <c r="M198" s="9">
        <f t="shared" si="14"/>
        <v>0.31003891350414181</v>
      </c>
      <c r="N198" s="9">
        <f t="shared" si="15"/>
        <v>4.8071300612497549E-4</v>
      </c>
    </row>
    <row r="199" spans="1:14" x14ac:dyDescent="0.35">
      <c r="A199" s="6">
        <v>45000</v>
      </c>
      <c r="B199" t="s">
        <v>9</v>
      </c>
      <c r="C199" t="s">
        <v>20</v>
      </c>
      <c r="D199" t="s">
        <v>26</v>
      </c>
      <c r="E199" t="s">
        <v>30</v>
      </c>
      <c r="F199" s="4">
        <v>5</v>
      </c>
      <c r="G199" s="4">
        <v>6781.5</v>
      </c>
      <c r="H199" s="4">
        <v>5020.05</v>
      </c>
      <c r="I199" s="8">
        <v>0.1</v>
      </c>
      <c r="J199" s="4">
        <v>1761.45</v>
      </c>
      <c r="K199" s="4" t="str">
        <f t="shared" si="12"/>
        <v>March</v>
      </c>
      <c r="L199">
        <f t="shared" si="13"/>
        <v>3</v>
      </c>
      <c r="M199" s="9">
        <f t="shared" si="14"/>
        <v>0.25974341959743419</v>
      </c>
      <c r="N199" s="9">
        <f t="shared" si="15"/>
        <v>6.2800139684772126E-5</v>
      </c>
    </row>
    <row r="200" spans="1:14" x14ac:dyDescent="0.35">
      <c r="A200" s="6">
        <v>45122</v>
      </c>
      <c r="B200" t="s">
        <v>12</v>
      </c>
      <c r="C200" t="s">
        <v>24</v>
      </c>
      <c r="D200" t="s">
        <v>25</v>
      </c>
      <c r="E200" t="s">
        <v>37</v>
      </c>
      <c r="F200" s="4">
        <v>4</v>
      </c>
      <c r="G200" s="4">
        <v>114080</v>
      </c>
      <c r="H200" s="4">
        <v>65667.58</v>
      </c>
      <c r="I200" s="8">
        <v>0.2</v>
      </c>
      <c r="J200" s="4">
        <v>48412.42</v>
      </c>
      <c r="K200" s="4" t="str">
        <f t="shared" si="12"/>
        <v>July</v>
      </c>
      <c r="L200">
        <f t="shared" si="13"/>
        <v>7</v>
      </c>
      <c r="M200" s="9">
        <f t="shared" si="14"/>
        <v>0.42437254558204768</v>
      </c>
      <c r="N200" s="9">
        <f t="shared" si="15"/>
        <v>1.0564388314147025E-3</v>
      </c>
    </row>
    <row r="201" spans="1:14" x14ac:dyDescent="0.35">
      <c r="A201" s="6">
        <v>45119</v>
      </c>
      <c r="B201" t="s">
        <v>11</v>
      </c>
      <c r="C201" t="s">
        <v>18</v>
      </c>
      <c r="D201" t="s">
        <v>26</v>
      </c>
      <c r="E201" t="s">
        <v>35</v>
      </c>
      <c r="F201" s="4">
        <v>1</v>
      </c>
      <c r="G201" s="4">
        <v>15359</v>
      </c>
      <c r="H201" s="4">
        <v>10682.84</v>
      </c>
      <c r="I201" s="8">
        <v>0</v>
      </c>
      <c r="J201" s="4">
        <v>4676.16</v>
      </c>
      <c r="K201" s="4" t="str">
        <f t="shared" si="12"/>
        <v>July</v>
      </c>
      <c r="L201">
        <f t="shared" si="13"/>
        <v>7</v>
      </c>
      <c r="M201" s="9">
        <f t="shared" si="14"/>
        <v>0.30445732144019794</v>
      </c>
      <c r="N201" s="9">
        <f t="shared" si="15"/>
        <v>1.4223215297772102E-4</v>
      </c>
    </row>
    <row r="202" spans="1:14" x14ac:dyDescent="0.35">
      <c r="A202" s="6">
        <v>45177</v>
      </c>
      <c r="B202" t="s">
        <v>10</v>
      </c>
      <c r="C202" t="s">
        <v>19</v>
      </c>
      <c r="D202" t="s">
        <v>26</v>
      </c>
      <c r="E202" t="s">
        <v>35</v>
      </c>
      <c r="F202" s="4">
        <v>2</v>
      </c>
      <c r="G202" s="4">
        <v>4564.8</v>
      </c>
      <c r="H202" s="4">
        <v>3019.57</v>
      </c>
      <c r="I202" s="8">
        <v>0.2</v>
      </c>
      <c r="J202" s="4">
        <v>1545.23</v>
      </c>
      <c r="K202" s="4" t="str">
        <f t="shared" si="12"/>
        <v>September</v>
      </c>
      <c r="L202">
        <f t="shared" si="13"/>
        <v>9</v>
      </c>
      <c r="M202" s="9">
        <f t="shared" si="14"/>
        <v>0.33850990185769364</v>
      </c>
      <c r="N202" s="9">
        <f t="shared" si="15"/>
        <v>4.2272370070492931E-5</v>
      </c>
    </row>
    <row r="203" spans="1:14" x14ac:dyDescent="0.35">
      <c r="A203" s="6">
        <v>44952</v>
      </c>
      <c r="B203" t="s">
        <v>9</v>
      </c>
      <c r="C203" t="s">
        <v>13</v>
      </c>
      <c r="D203" t="s">
        <v>26</v>
      </c>
      <c r="E203" t="s">
        <v>35</v>
      </c>
      <c r="F203" s="4">
        <v>5</v>
      </c>
      <c r="G203" s="4">
        <v>200538</v>
      </c>
      <c r="H203" s="4">
        <v>122955.3</v>
      </c>
      <c r="I203" s="8">
        <v>0.1</v>
      </c>
      <c r="J203" s="4">
        <v>77582.7</v>
      </c>
      <c r="K203" s="4" t="str">
        <f t="shared" si="12"/>
        <v>January</v>
      </c>
      <c r="L203">
        <f t="shared" si="13"/>
        <v>1</v>
      </c>
      <c r="M203" s="9">
        <f t="shared" si="14"/>
        <v>0.3868728121353559</v>
      </c>
      <c r="N203" s="9">
        <f t="shared" si="15"/>
        <v>1.8570838917798176E-3</v>
      </c>
    </row>
    <row r="204" spans="1:14" x14ac:dyDescent="0.35">
      <c r="A204" s="6">
        <v>44965</v>
      </c>
      <c r="B204" t="s">
        <v>10</v>
      </c>
      <c r="C204" t="s">
        <v>19</v>
      </c>
      <c r="D204" t="s">
        <v>28</v>
      </c>
      <c r="E204" t="s">
        <v>39</v>
      </c>
      <c r="F204" s="4">
        <v>4</v>
      </c>
      <c r="G204" s="4">
        <v>53236.800000000003</v>
      </c>
      <c r="H204" s="4">
        <v>35287.839999999997</v>
      </c>
      <c r="I204" s="8">
        <v>0.1</v>
      </c>
      <c r="J204" s="4">
        <v>17948.96</v>
      </c>
      <c r="K204" s="4" t="str">
        <f t="shared" si="12"/>
        <v>February</v>
      </c>
      <c r="L204">
        <f t="shared" si="13"/>
        <v>2</v>
      </c>
      <c r="M204" s="9">
        <f t="shared" si="14"/>
        <v>0.33715324737775371</v>
      </c>
      <c r="N204" s="9">
        <f t="shared" si="15"/>
        <v>4.9299984905555952E-4</v>
      </c>
    </row>
    <row r="205" spans="1:14" x14ac:dyDescent="0.35">
      <c r="A205" s="6">
        <v>45010</v>
      </c>
      <c r="B205" t="s">
        <v>9</v>
      </c>
      <c r="C205" t="s">
        <v>15</v>
      </c>
      <c r="D205" t="s">
        <v>27</v>
      </c>
      <c r="E205" t="s">
        <v>38</v>
      </c>
      <c r="F205" s="4">
        <v>3</v>
      </c>
      <c r="G205" s="4">
        <v>68146.350000000006</v>
      </c>
      <c r="H205" s="4">
        <v>50646.76</v>
      </c>
      <c r="I205" s="8">
        <v>0.05</v>
      </c>
      <c r="J205" s="4">
        <v>17499.59</v>
      </c>
      <c r="K205" s="4" t="str">
        <f t="shared" si="12"/>
        <v>March</v>
      </c>
      <c r="L205">
        <f t="shared" si="13"/>
        <v>3</v>
      </c>
      <c r="M205" s="9">
        <f t="shared" si="14"/>
        <v>0.25679423769578263</v>
      </c>
      <c r="N205" s="9">
        <f t="shared" si="15"/>
        <v>6.310698664023257E-4</v>
      </c>
    </row>
    <row r="206" spans="1:14" x14ac:dyDescent="0.35">
      <c r="A206" s="6">
        <v>44947</v>
      </c>
      <c r="B206" t="s">
        <v>10</v>
      </c>
      <c r="C206" t="s">
        <v>22</v>
      </c>
      <c r="D206" t="s">
        <v>25</v>
      </c>
      <c r="E206" t="s">
        <v>29</v>
      </c>
      <c r="F206" s="4">
        <v>1</v>
      </c>
      <c r="G206" s="4">
        <v>38176.050000000003</v>
      </c>
      <c r="H206" s="4">
        <v>21295.58</v>
      </c>
      <c r="I206" s="8">
        <v>0.15</v>
      </c>
      <c r="J206" s="4">
        <v>16880.47</v>
      </c>
      <c r="K206" s="4" t="str">
        <f t="shared" si="12"/>
        <v>January</v>
      </c>
      <c r="L206">
        <f t="shared" si="13"/>
        <v>1</v>
      </c>
      <c r="M206" s="9">
        <f t="shared" si="14"/>
        <v>0.44217434752940654</v>
      </c>
      <c r="N206" s="9">
        <f t="shared" si="15"/>
        <v>3.5352964279478658E-4</v>
      </c>
    </row>
    <row r="207" spans="1:14" x14ac:dyDescent="0.35">
      <c r="A207" s="6">
        <v>45183</v>
      </c>
      <c r="B207" t="s">
        <v>9</v>
      </c>
      <c r="C207" t="s">
        <v>13</v>
      </c>
      <c r="D207" t="s">
        <v>25</v>
      </c>
      <c r="E207" t="s">
        <v>37</v>
      </c>
      <c r="F207" s="4">
        <v>6</v>
      </c>
      <c r="G207" s="4">
        <v>209700</v>
      </c>
      <c r="H207" s="4">
        <v>138522.51</v>
      </c>
      <c r="I207" s="8">
        <v>0</v>
      </c>
      <c r="J207" s="4">
        <v>71177.490000000005</v>
      </c>
      <c r="K207" s="4" t="str">
        <f t="shared" si="12"/>
        <v>September</v>
      </c>
      <c r="L207">
        <f t="shared" si="13"/>
        <v>9</v>
      </c>
      <c r="M207" s="9">
        <f t="shared" si="14"/>
        <v>0.33942532188841207</v>
      </c>
      <c r="N207" s="9">
        <f t="shared" si="15"/>
        <v>1.9419286724023765E-3</v>
      </c>
    </row>
    <row r="208" spans="1:14" x14ac:dyDescent="0.35">
      <c r="A208" s="6">
        <v>44938</v>
      </c>
      <c r="B208" t="s">
        <v>10</v>
      </c>
      <c r="C208" t="s">
        <v>19</v>
      </c>
      <c r="D208" t="s">
        <v>25</v>
      </c>
      <c r="E208" t="s">
        <v>32</v>
      </c>
      <c r="F208" s="4">
        <v>5</v>
      </c>
      <c r="G208" s="4">
        <v>243950</v>
      </c>
      <c r="H208" s="4">
        <v>173916.03</v>
      </c>
      <c r="I208" s="8">
        <v>0</v>
      </c>
      <c r="J208" s="4">
        <v>70033.97</v>
      </c>
      <c r="K208" s="4" t="str">
        <f t="shared" si="12"/>
        <v>January</v>
      </c>
      <c r="L208">
        <f t="shared" si="13"/>
        <v>1</v>
      </c>
      <c r="M208" s="9">
        <f t="shared" si="14"/>
        <v>0.28708329575732733</v>
      </c>
      <c r="N208" s="9">
        <f t="shared" si="15"/>
        <v>2.2591010950527408E-3</v>
      </c>
    </row>
    <row r="209" spans="1:14" x14ac:dyDescent="0.35">
      <c r="A209" s="6">
        <v>45071</v>
      </c>
      <c r="B209" t="s">
        <v>10</v>
      </c>
      <c r="C209" t="s">
        <v>22</v>
      </c>
      <c r="D209" t="s">
        <v>26</v>
      </c>
      <c r="E209" t="s">
        <v>30</v>
      </c>
      <c r="F209" s="4">
        <v>3</v>
      </c>
      <c r="G209" s="4">
        <v>88931.25</v>
      </c>
      <c r="H209" s="4">
        <v>53036.94</v>
      </c>
      <c r="I209" s="8">
        <v>0.15</v>
      </c>
      <c r="J209" s="4">
        <v>35894.31</v>
      </c>
      <c r="K209" s="4" t="str">
        <f t="shared" si="12"/>
        <v>May</v>
      </c>
      <c r="L209">
        <f t="shared" si="13"/>
        <v>5</v>
      </c>
      <c r="M209" s="9">
        <f t="shared" si="14"/>
        <v>0.40361863799283154</v>
      </c>
      <c r="N209" s="9">
        <f t="shared" si="15"/>
        <v>8.2354861348394768E-4</v>
      </c>
    </row>
    <row r="210" spans="1:14" x14ac:dyDescent="0.35">
      <c r="A210" s="6">
        <v>45275</v>
      </c>
      <c r="B210" t="s">
        <v>12</v>
      </c>
      <c r="C210" t="s">
        <v>23</v>
      </c>
      <c r="D210" t="s">
        <v>26</v>
      </c>
      <c r="E210" t="s">
        <v>35</v>
      </c>
      <c r="F210" s="4">
        <v>3</v>
      </c>
      <c r="G210" s="4">
        <v>134705.25</v>
      </c>
      <c r="H210" s="4">
        <v>99716.37</v>
      </c>
      <c r="I210" s="8">
        <v>0.05</v>
      </c>
      <c r="J210" s="4">
        <v>34988.879999999997</v>
      </c>
      <c r="K210" s="4" t="str">
        <f t="shared" si="12"/>
        <v>December</v>
      </c>
      <c r="L210">
        <f t="shared" si="13"/>
        <v>12</v>
      </c>
      <c r="M210" s="9">
        <f t="shared" si="14"/>
        <v>0.25974399661483127</v>
      </c>
      <c r="N210" s="9">
        <f t="shared" si="15"/>
        <v>1.2474391382838828E-3</v>
      </c>
    </row>
    <row r="211" spans="1:14" x14ac:dyDescent="0.35">
      <c r="A211" s="6">
        <v>45199</v>
      </c>
      <c r="B211" t="s">
        <v>11</v>
      </c>
      <c r="C211" t="s">
        <v>16</v>
      </c>
      <c r="D211" t="s">
        <v>26</v>
      </c>
      <c r="E211" t="s">
        <v>30</v>
      </c>
      <c r="F211" s="4">
        <v>2</v>
      </c>
      <c r="G211" s="4">
        <v>31502</v>
      </c>
      <c r="H211" s="4">
        <v>17335.8</v>
      </c>
      <c r="I211" s="8">
        <v>0</v>
      </c>
      <c r="J211" s="4">
        <v>14166.2</v>
      </c>
      <c r="K211" s="4" t="str">
        <f t="shared" si="12"/>
        <v>September</v>
      </c>
      <c r="L211">
        <f t="shared" si="13"/>
        <v>9</v>
      </c>
      <c r="M211" s="9">
        <f t="shared" si="14"/>
        <v>0.44969208304234654</v>
      </c>
      <c r="N211" s="9">
        <f t="shared" si="15"/>
        <v>2.91724544768811E-4</v>
      </c>
    </row>
    <row r="212" spans="1:14" x14ac:dyDescent="0.35">
      <c r="A212" s="6">
        <v>45270</v>
      </c>
      <c r="B212" t="s">
        <v>10</v>
      </c>
      <c r="C212" t="s">
        <v>14</v>
      </c>
      <c r="D212" t="s">
        <v>28</v>
      </c>
      <c r="E212" t="s">
        <v>44</v>
      </c>
      <c r="F212" s="4">
        <v>1</v>
      </c>
      <c r="G212" s="4">
        <v>4487.2</v>
      </c>
      <c r="H212" s="4">
        <v>2769.72</v>
      </c>
      <c r="I212" s="8">
        <v>0.2</v>
      </c>
      <c r="J212" s="4">
        <v>1717.48</v>
      </c>
      <c r="K212" s="4" t="str">
        <f t="shared" si="12"/>
        <v>December</v>
      </c>
      <c r="L212">
        <f t="shared" si="13"/>
        <v>12</v>
      </c>
      <c r="M212" s="9">
        <f t="shared" si="14"/>
        <v>0.38275093599572119</v>
      </c>
      <c r="N212" s="9">
        <f t="shared" si="15"/>
        <v>4.1553754596108452E-5</v>
      </c>
    </row>
    <row r="213" spans="1:14" x14ac:dyDescent="0.35">
      <c r="A213" s="6">
        <v>45246</v>
      </c>
      <c r="B213" t="s">
        <v>11</v>
      </c>
      <c r="C213" t="s">
        <v>17</v>
      </c>
      <c r="D213" t="s">
        <v>26</v>
      </c>
      <c r="E213" t="s">
        <v>43</v>
      </c>
      <c r="F213" s="4">
        <v>1</v>
      </c>
      <c r="G213" s="4">
        <v>29948</v>
      </c>
      <c r="H213" s="4">
        <v>17013.810000000001</v>
      </c>
      <c r="I213" s="8">
        <v>0.2</v>
      </c>
      <c r="J213" s="4">
        <v>12934.19</v>
      </c>
      <c r="K213" s="4" t="str">
        <f t="shared" si="12"/>
        <v>November</v>
      </c>
      <c r="L213">
        <f t="shared" si="13"/>
        <v>11</v>
      </c>
      <c r="M213" s="9">
        <f t="shared" si="14"/>
        <v>0.4318882730065447</v>
      </c>
      <c r="N213" s="9">
        <f t="shared" si="15"/>
        <v>2.7733371426374043E-4</v>
      </c>
    </row>
    <row r="214" spans="1:14" x14ac:dyDescent="0.35">
      <c r="A214" s="6">
        <v>45215</v>
      </c>
      <c r="B214" t="s">
        <v>10</v>
      </c>
      <c r="C214" t="s">
        <v>19</v>
      </c>
      <c r="D214" t="s">
        <v>25</v>
      </c>
      <c r="E214" t="s">
        <v>29</v>
      </c>
      <c r="F214" s="4">
        <v>6</v>
      </c>
      <c r="G214" s="4">
        <v>143872.20000000001</v>
      </c>
      <c r="H214" s="4">
        <v>104126.85</v>
      </c>
      <c r="I214" s="8">
        <v>0.1</v>
      </c>
      <c r="J214" s="4">
        <v>39745.35</v>
      </c>
      <c r="K214" s="4" t="str">
        <f t="shared" si="12"/>
        <v>October</v>
      </c>
      <c r="L214">
        <f t="shared" si="13"/>
        <v>10</v>
      </c>
      <c r="M214" s="9">
        <f t="shared" si="14"/>
        <v>0.27625455091393608</v>
      </c>
      <c r="N214" s="9">
        <f t="shared" si="15"/>
        <v>1.3323297584244597E-3</v>
      </c>
    </row>
    <row r="215" spans="1:14" x14ac:dyDescent="0.35">
      <c r="A215" s="6">
        <v>45002</v>
      </c>
      <c r="B215" t="s">
        <v>11</v>
      </c>
      <c r="C215" t="s">
        <v>18</v>
      </c>
      <c r="D215" t="s">
        <v>27</v>
      </c>
      <c r="E215" t="s">
        <v>31</v>
      </c>
      <c r="F215" s="4">
        <v>3</v>
      </c>
      <c r="G215" s="4">
        <v>90398.7</v>
      </c>
      <c r="H215" s="4">
        <v>52090.67</v>
      </c>
      <c r="I215" s="8">
        <v>0.1</v>
      </c>
      <c r="J215" s="4">
        <v>38308.03</v>
      </c>
      <c r="K215" s="4" t="str">
        <f t="shared" si="12"/>
        <v>March</v>
      </c>
      <c r="L215">
        <f t="shared" si="13"/>
        <v>3</v>
      </c>
      <c r="M215" s="9">
        <f t="shared" si="14"/>
        <v>0.42376748780679369</v>
      </c>
      <c r="N215" s="9">
        <f t="shared" si="15"/>
        <v>8.3713794696185361E-4</v>
      </c>
    </row>
    <row r="216" spans="1:14" x14ac:dyDescent="0.35">
      <c r="A216" s="6">
        <v>45128</v>
      </c>
      <c r="B216" t="s">
        <v>12</v>
      </c>
      <c r="C216" t="s">
        <v>24</v>
      </c>
      <c r="D216" t="s">
        <v>26</v>
      </c>
      <c r="E216" t="s">
        <v>35</v>
      </c>
      <c r="F216" s="4">
        <v>6</v>
      </c>
      <c r="G216" s="4">
        <v>154433.1</v>
      </c>
      <c r="H216" s="4">
        <v>112059.17</v>
      </c>
      <c r="I216" s="8">
        <v>0.15</v>
      </c>
      <c r="J216" s="4">
        <v>42373.93</v>
      </c>
      <c r="K216" s="4" t="str">
        <f t="shared" si="12"/>
        <v>July</v>
      </c>
      <c r="L216">
        <f t="shared" si="13"/>
        <v>7</v>
      </c>
      <c r="M216" s="9">
        <f t="shared" si="14"/>
        <v>0.27438372991282306</v>
      </c>
      <c r="N216" s="9">
        <f t="shared" si="15"/>
        <v>1.4301290646541892E-3</v>
      </c>
    </row>
    <row r="217" spans="1:14" x14ac:dyDescent="0.35">
      <c r="A217" s="6">
        <v>45003</v>
      </c>
      <c r="B217" t="s">
        <v>11</v>
      </c>
      <c r="C217" t="s">
        <v>18</v>
      </c>
      <c r="D217" t="s">
        <v>26</v>
      </c>
      <c r="E217" t="s">
        <v>43</v>
      </c>
      <c r="F217" s="4">
        <v>2</v>
      </c>
      <c r="G217" s="4">
        <v>13736</v>
      </c>
      <c r="H217" s="4">
        <v>10585.42</v>
      </c>
      <c r="I217" s="8">
        <v>0</v>
      </c>
      <c r="J217" s="4">
        <v>3150.58</v>
      </c>
      <c r="K217" s="4" t="str">
        <f t="shared" si="12"/>
        <v>March</v>
      </c>
      <c r="L217">
        <f t="shared" si="13"/>
        <v>3</v>
      </c>
      <c r="M217" s="9">
        <f t="shared" si="14"/>
        <v>0.22936662783925452</v>
      </c>
      <c r="N217" s="9">
        <f t="shared" si="15"/>
        <v>1.272023473730045E-4</v>
      </c>
    </row>
    <row r="218" spans="1:14" x14ac:dyDescent="0.35">
      <c r="A218" s="6">
        <v>45069</v>
      </c>
      <c r="B218" t="s">
        <v>11</v>
      </c>
      <c r="C218" t="s">
        <v>18</v>
      </c>
      <c r="D218" t="s">
        <v>28</v>
      </c>
      <c r="E218" t="s">
        <v>42</v>
      </c>
      <c r="F218" s="4">
        <v>2</v>
      </c>
      <c r="G218" s="4">
        <v>30447.5</v>
      </c>
      <c r="H218" s="4">
        <v>21994.25</v>
      </c>
      <c r="I218" s="8">
        <v>0.05</v>
      </c>
      <c r="J218" s="4">
        <v>8453.25</v>
      </c>
      <c r="K218" s="4" t="str">
        <f t="shared" si="12"/>
        <v>May</v>
      </c>
      <c r="L218">
        <f t="shared" si="13"/>
        <v>5</v>
      </c>
      <c r="M218" s="9">
        <f t="shared" si="14"/>
        <v>0.27763363166105592</v>
      </c>
      <c r="N218" s="9">
        <f t="shared" si="15"/>
        <v>2.8195933835465595E-4</v>
      </c>
    </row>
    <row r="219" spans="1:14" x14ac:dyDescent="0.35">
      <c r="A219" s="6">
        <v>44935</v>
      </c>
      <c r="B219" t="s">
        <v>10</v>
      </c>
      <c r="C219" t="s">
        <v>19</v>
      </c>
      <c r="D219" t="s">
        <v>25</v>
      </c>
      <c r="E219" t="s">
        <v>37</v>
      </c>
      <c r="F219" s="4">
        <v>1</v>
      </c>
      <c r="G219" s="4">
        <v>5272</v>
      </c>
      <c r="H219" s="4">
        <v>3830.74</v>
      </c>
      <c r="I219" s="8">
        <v>0.2</v>
      </c>
      <c r="J219" s="4">
        <v>1441.26</v>
      </c>
      <c r="K219" s="4" t="str">
        <f t="shared" si="12"/>
        <v>January</v>
      </c>
      <c r="L219">
        <f t="shared" si="13"/>
        <v>1</v>
      </c>
      <c r="M219" s="9">
        <f t="shared" si="14"/>
        <v>0.27338012139605461</v>
      </c>
      <c r="N219" s="9">
        <f t="shared" si="15"/>
        <v>4.8821401816429799E-5</v>
      </c>
    </row>
    <row r="220" spans="1:14" x14ac:dyDescent="0.35">
      <c r="A220" s="6">
        <v>45010</v>
      </c>
      <c r="B220" t="s">
        <v>10</v>
      </c>
      <c r="C220" t="s">
        <v>14</v>
      </c>
      <c r="D220" t="s">
        <v>25</v>
      </c>
      <c r="E220" t="s">
        <v>29</v>
      </c>
      <c r="F220" s="4">
        <v>1</v>
      </c>
      <c r="G220" s="4">
        <v>24501.45</v>
      </c>
      <c r="H220" s="4">
        <v>17306.02</v>
      </c>
      <c r="I220" s="8">
        <v>0.05</v>
      </c>
      <c r="J220" s="4">
        <v>7195.43</v>
      </c>
      <c r="K220" s="4" t="str">
        <f t="shared" si="12"/>
        <v>March</v>
      </c>
      <c r="L220">
        <f t="shared" si="13"/>
        <v>3</v>
      </c>
      <c r="M220" s="9">
        <f t="shared" si="14"/>
        <v>0.2936736397233633</v>
      </c>
      <c r="N220" s="9">
        <f t="shared" si="15"/>
        <v>2.2689589065538008E-4</v>
      </c>
    </row>
    <row r="221" spans="1:14" x14ac:dyDescent="0.35">
      <c r="A221" s="6">
        <v>45240</v>
      </c>
      <c r="B221" t="s">
        <v>10</v>
      </c>
      <c r="C221" t="s">
        <v>22</v>
      </c>
      <c r="D221" t="s">
        <v>25</v>
      </c>
      <c r="E221" t="s">
        <v>29</v>
      </c>
      <c r="F221" s="4">
        <v>7</v>
      </c>
      <c r="G221" s="4">
        <v>200669.7</v>
      </c>
      <c r="H221" s="4">
        <v>138110.99</v>
      </c>
      <c r="I221" s="8">
        <v>0.15</v>
      </c>
      <c r="J221" s="4">
        <v>62558.71</v>
      </c>
      <c r="K221" s="4" t="str">
        <f t="shared" si="12"/>
        <v>November</v>
      </c>
      <c r="L221">
        <f t="shared" si="13"/>
        <v>11</v>
      </c>
      <c r="M221" s="9">
        <f t="shared" si="14"/>
        <v>0.31174965627595991</v>
      </c>
      <c r="N221" s="9">
        <f t="shared" si="15"/>
        <v>1.8583035007743594E-3</v>
      </c>
    </row>
    <row r="222" spans="1:14" x14ac:dyDescent="0.35">
      <c r="A222" s="6">
        <v>44938</v>
      </c>
      <c r="B222" t="s">
        <v>10</v>
      </c>
      <c r="C222" t="s">
        <v>19</v>
      </c>
      <c r="D222" t="s">
        <v>25</v>
      </c>
      <c r="E222" t="s">
        <v>29</v>
      </c>
      <c r="F222" s="4">
        <v>7</v>
      </c>
      <c r="G222" s="4">
        <v>129638.6</v>
      </c>
      <c r="H222" s="4">
        <v>95011.79</v>
      </c>
      <c r="I222" s="8">
        <v>0.15</v>
      </c>
      <c r="J222" s="4">
        <v>34626.81</v>
      </c>
      <c r="K222" s="4" t="str">
        <f t="shared" si="12"/>
        <v>January</v>
      </c>
      <c r="L222">
        <f t="shared" si="13"/>
        <v>1</v>
      </c>
      <c r="M222" s="9">
        <f t="shared" si="14"/>
        <v>0.26710262221282854</v>
      </c>
      <c r="N222" s="9">
        <f t="shared" si="15"/>
        <v>1.2005193819270516E-3</v>
      </c>
    </row>
    <row r="223" spans="1:14" x14ac:dyDescent="0.35">
      <c r="A223" s="6">
        <v>45282</v>
      </c>
      <c r="B223" t="s">
        <v>9</v>
      </c>
      <c r="C223" t="s">
        <v>13</v>
      </c>
      <c r="D223" t="s">
        <v>27</v>
      </c>
      <c r="E223" t="s">
        <v>38</v>
      </c>
      <c r="F223" s="4">
        <v>3</v>
      </c>
      <c r="G223" s="4">
        <v>73561.5</v>
      </c>
      <c r="H223" s="4">
        <v>58405.35</v>
      </c>
      <c r="I223" s="8">
        <v>0.1</v>
      </c>
      <c r="J223" s="4">
        <v>15156.15</v>
      </c>
      <c r="K223" s="4" t="str">
        <f t="shared" si="12"/>
        <v>December</v>
      </c>
      <c r="L223">
        <f t="shared" si="13"/>
        <v>12</v>
      </c>
      <c r="M223" s="9">
        <f t="shared" si="14"/>
        <v>0.20603372688158886</v>
      </c>
      <c r="N223" s="9">
        <f t="shared" si="15"/>
        <v>6.8121691003780358E-4</v>
      </c>
    </row>
    <row r="224" spans="1:14" x14ac:dyDescent="0.35">
      <c r="A224" s="6">
        <v>45137</v>
      </c>
      <c r="B224" t="s">
        <v>12</v>
      </c>
      <c r="C224" t="s">
        <v>23</v>
      </c>
      <c r="D224" t="s">
        <v>25</v>
      </c>
      <c r="E224" t="s">
        <v>33</v>
      </c>
      <c r="F224" s="4">
        <v>7</v>
      </c>
      <c r="G224" s="4">
        <v>172689.3</v>
      </c>
      <c r="H224" s="4">
        <v>101958.89</v>
      </c>
      <c r="I224" s="8">
        <v>0.1</v>
      </c>
      <c r="J224" s="4">
        <v>70730.41</v>
      </c>
      <c r="K224" s="4" t="str">
        <f t="shared" si="12"/>
        <v>July</v>
      </c>
      <c r="L224">
        <f t="shared" si="13"/>
        <v>7</v>
      </c>
      <c r="M224" s="9">
        <f t="shared" si="14"/>
        <v>0.40958189071355322</v>
      </c>
      <c r="N224" s="9">
        <f t="shared" si="15"/>
        <v>1.599190763410089E-3</v>
      </c>
    </row>
    <row r="225" spans="1:14" x14ac:dyDescent="0.35">
      <c r="A225" s="6">
        <v>45169</v>
      </c>
      <c r="B225" t="s">
        <v>10</v>
      </c>
      <c r="C225" t="s">
        <v>14</v>
      </c>
      <c r="D225" t="s">
        <v>26</v>
      </c>
      <c r="E225" t="s">
        <v>30</v>
      </c>
      <c r="F225" s="4">
        <v>1</v>
      </c>
      <c r="G225" s="4">
        <v>23542.2</v>
      </c>
      <c r="H225" s="4">
        <v>13428.04</v>
      </c>
      <c r="I225" s="8">
        <v>0.1</v>
      </c>
      <c r="J225" s="4">
        <v>10114.16</v>
      </c>
      <c r="K225" s="4" t="str">
        <f t="shared" si="12"/>
        <v>August</v>
      </c>
      <c r="L225">
        <f t="shared" si="13"/>
        <v>8</v>
      </c>
      <c r="M225" s="9">
        <f t="shared" si="14"/>
        <v>0.42961830245261701</v>
      </c>
      <c r="N225" s="9">
        <f t="shared" si="15"/>
        <v>2.1801274769399728E-4</v>
      </c>
    </row>
    <row r="226" spans="1:14" x14ac:dyDescent="0.35">
      <c r="A226" s="6">
        <v>45231</v>
      </c>
      <c r="B226" t="s">
        <v>9</v>
      </c>
      <c r="C226" t="s">
        <v>13</v>
      </c>
      <c r="D226" t="s">
        <v>27</v>
      </c>
      <c r="E226" t="s">
        <v>41</v>
      </c>
      <c r="F226" s="4">
        <v>7</v>
      </c>
      <c r="G226" s="4">
        <v>327502</v>
      </c>
      <c r="H226" s="4">
        <v>248938.56</v>
      </c>
      <c r="I226" s="8">
        <v>0</v>
      </c>
      <c r="J226" s="4">
        <v>78563.44</v>
      </c>
      <c r="K226" s="4" t="str">
        <f t="shared" si="12"/>
        <v>November</v>
      </c>
      <c r="L226">
        <f t="shared" si="13"/>
        <v>11</v>
      </c>
      <c r="M226" s="9">
        <f t="shared" si="14"/>
        <v>0.23988690145403693</v>
      </c>
      <c r="N226" s="9">
        <f t="shared" si="15"/>
        <v>3.0328351171632004E-3</v>
      </c>
    </row>
    <row r="227" spans="1:14" x14ac:dyDescent="0.35">
      <c r="A227" s="6">
        <v>45146</v>
      </c>
      <c r="B227" t="s">
        <v>10</v>
      </c>
      <c r="C227" t="s">
        <v>14</v>
      </c>
      <c r="D227" t="s">
        <v>25</v>
      </c>
      <c r="E227" t="s">
        <v>32</v>
      </c>
      <c r="F227" s="4">
        <v>5</v>
      </c>
      <c r="G227" s="4">
        <v>150190.75</v>
      </c>
      <c r="H227" s="4">
        <v>106213.58</v>
      </c>
      <c r="I227" s="8">
        <v>0.15</v>
      </c>
      <c r="J227" s="4">
        <v>43977.17</v>
      </c>
      <c r="K227" s="4" t="str">
        <f t="shared" si="12"/>
        <v>August</v>
      </c>
      <c r="L227">
        <f t="shared" si="13"/>
        <v>8</v>
      </c>
      <c r="M227" s="9">
        <f t="shared" si="14"/>
        <v>0.29280877817042661</v>
      </c>
      <c r="N227" s="9">
        <f t="shared" si="15"/>
        <v>1.3908427456109547E-3</v>
      </c>
    </row>
    <row r="228" spans="1:14" x14ac:dyDescent="0.35">
      <c r="A228" s="6">
        <v>45043</v>
      </c>
      <c r="B228" t="s">
        <v>11</v>
      </c>
      <c r="C228" t="s">
        <v>18</v>
      </c>
      <c r="D228" t="s">
        <v>26</v>
      </c>
      <c r="E228" t="s">
        <v>30</v>
      </c>
      <c r="F228" s="4">
        <v>2</v>
      </c>
      <c r="G228" s="4">
        <v>31564</v>
      </c>
      <c r="H228" s="4">
        <v>20821.310000000001</v>
      </c>
      <c r="I228" s="8">
        <v>0</v>
      </c>
      <c r="J228" s="4">
        <v>10742.69</v>
      </c>
      <c r="K228" s="4" t="str">
        <f t="shared" si="12"/>
        <v>April</v>
      </c>
      <c r="L228">
        <f t="shared" si="13"/>
        <v>4</v>
      </c>
      <c r="M228" s="9">
        <f t="shared" si="14"/>
        <v>0.34034628057280447</v>
      </c>
      <c r="N228" s="9">
        <f t="shared" si="15"/>
        <v>2.9229869630762329E-4</v>
      </c>
    </row>
    <row r="229" spans="1:14" x14ac:dyDescent="0.35">
      <c r="A229" s="6">
        <v>45112</v>
      </c>
      <c r="B229" t="s">
        <v>10</v>
      </c>
      <c r="C229" t="s">
        <v>19</v>
      </c>
      <c r="D229" t="s">
        <v>25</v>
      </c>
      <c r="E229" t="s">
        <v>32</v>
      </c>
      <c r="F229" s="4">
        <v>4</v>
      </c>
      <c r="G229" s="4">
        <v>174230</v>
      </c>
      <c r="H229" s="4">
        <v>139041.35</v>
      </c>
      <c r="I229" s="8">
        <v>0.05</v>
      </c>
      <c r="J229" s="4">
        <v>35188.65</v>
      </c>
      <c r="K229" s="4" t="str">
        <f t="shared" si="12"/>
        <v>July</v>
      </c>
      <c r="L229">
        <f t="shared" si="13"/>
        <v>7</v>
      </c>
      <c r="M229" s="9">
        <f t="shared" si="14"/>
        <v>0.20196665327440741</v>
      </c>
      <c r="N229" s="9">
        <f t="shared" si="15"/>
        <v>1.6134584291495758E-3</v>
      </c>
    </row>
    <row r="230" spans="1:14" x14ac:dyDescent="0.35">
      <c r="A230" s="6">
        <v>45281</v>
      </c>
      <c r="B230" t="s">
        <v>10</v>
      </c>
      <c r="C230" t="s">
        <v>14</v>
      </c>
      <c r="D230" t="s">
        <v>26</v>
      </c>
      <c r="E230" t="s">
        <v>35</v>
      </c>
      <c r="F230" s="4">
        <v>5</v>
      </c>
      <c r="G230" s="4">
        <v>135188</v>
      </c>
      <c r="H230" s="4">
        <v>99130.42</v>
      </c>
      <c r="I230" s="8">
        <v>0.2</v>
      </c>
      <c r="J230" s="4">
        <v>36057.58</v>
      </c>
      <c r="K230" s="4" t="str">
        <f t="shared" si="12"/>
        <v>December</v>
      </c>
      <c r="L230">
        <f t="shared" si="13"/>
        <v>12</v>
      </c>
      <c r="M230" s="9">
        <f t="shared" si="14"/>
        <v>0.26672175045122348</v>
      </c>
      <c r="N230" s="9">
        <f t="shared" si="15"/>
        <v>1.2519096488542321E-3</v>
      </c>
    </row>
    <row r="231" spans="1:14" x14ac:dyDescent="0.35">
      <c r="A231" s="6">
        <v>45251</v>
      </c>
      <c r="B231" t="s">
        <v>10</v>
      </c>
      <c r="C231" t="s">
        <v>19</v>
      </c>
      <c r="D231" t="s">
        <v>25</v>
      </c>
      <c r="E231" t="s">
        <v>32</v>
      </c>
      <c r="F231" s="4">
        <v>4</v>
      </c>
      <c r="G231" s="4">
        <v>3895</v>
      </c>
      <c r="H231" s="4">
        <v>2318.48</v>
      </c>
      <c r="I231" s="8">
        <v>0.05</v>
      </c>
      <c r="J231" s="4">
        <v>1576.52</v>
      </c>
      <c r="K231" s="4" t="str">
        <f t="shared" si="12"/>
        <v>November</v>
      </c>
      <c r="L231">
        <f t="shared" si="13"/>
        <v>11</v>
      </c>
      <c r="M231" s="9">
        <f t="shared" si="14"/>
        <v>0.40475481386392809</v>
      </c>
      <c r="N231" s="9">
        <f t="shared" si="15"/>
        <v>3.6069681349581576E-5</v>
      </c>
    </row>
    <row r="232" spans="1:14" x14ac:dyDescent="0.35">
      <c r="A232" s="6">
        <v>45157</v>
      </c>
      <c r="B232" t="s">
        <v>10</v>
      </c>
      <c r="C232" t="s">
        <v>14</v>
      </c>
      <c r="D232" t="s">
        <v>27</v>
      </c>
      <c r="E232" t="s">
        <v>41</v>
      </c>
      <c r="F232" s="4">
        <v>6</v>
      </c>
      <c r="G232" s="4">
        <v>148910.39999999999</v>
      </c>
      <c r="H232" s="4">
        <v>98478.37</v>
      </c>
      <c r="I232" s="8">
        <v>0.2</v>
      </c>
      <c r="J232" s="4">
        <v>50432.03</v>
      </c>
      <c r="K232" s="4" t="str">
        <f t="shared" si="12"/>
        <v>August</v>
      </c>
      <c r="L232">
        <f t="shared" si="13"/>
        <v>8</v>
      </c>
      <c r="M232" s="9">
        <f t="shared" si="14"/>
        <v>0.33867365879078964</v>
      </c>
      <c r="N232" s="9">
        <f t="shared" si="15"/>
        <v>1.3789860533090453E-3</v>
      </c>
    </row>
    <row r="233" spans="1:14" x14ac:dyDescent="0.35">
      <c r="A233" s="6">
        <v>45155</v>
      </c>
      <c r="B233" t="s">
        <v>12</v>
      </c>
      <c r="C233" t="s">
        <v>24</v>
      </c>
      <c r="D233" t="s">
        <v>25</v>
      </c>
      <c r="E233" t="s">
        <v>32</v>
      </c>
      <c r="F233" s="4">
        <v>1</v>
      </c>
      <c r="G233" s="4">
        <v>23048.6</v>
      </c>
      <c r="H233" s="4">
        <v>14164.13</v>
      </c>
      <c r="I233" s="8">
        <v>0.15</v>
      </c>
      <c r="J233" s="4">
        <v>8884.4699999999993</v>
      </c>
      <c r="K233" s="4" t="str">
        <f t="shared" si="12"/>
        <v>August</v>
      </c>
      <c r="L233">
        <f t="shared" si="13"/>
        <v>8</v>
      </c>
      <c r="M233" s="9">
        <f t="shared" si="14"/>
        <v>0.38546679624792829</v>
      </c>
      <c r="N233" s="9">
        <f t="shared" si="15"/>
        <v>2.1344176060435579E-4</v>
      </c>
    </row>
    <row r="234" spans="1:14" x14ac:dyDescent="0.35">
      <c r="A234" s="6">
        <v>45213</v>
      </c>
      <c r="B234" t="s">
        <v>12</v>
      </c>
      <c r="C234" t="s">
        <v>21</v>
      </c>
      <c r="D234" t="s">
        <v>27</v>
      </c>
      <c r="E234" t="s">
        <v>31</v>
      </c>
      <c r="F234" s="4">
        <v>4</v>
      </c>
      <c r="G234" s="4">
        <v>105340.8</v>
      </c>
      <c r="H234" s="4">
        <v>64179.62</v>
      </c>
      <c r="I234" s="8">
        <v>0.2</v>
      </c>
      <c r="J234" s="4">
        <v>41161.18</v>
      </c>
      <c r="K234" s="4" t="str">
        <f t="shared" si="12"/>
        <v>October</v>
      </c>
      <c r="L234">
        <f t="shared" si="13"/>
        <v>10</v>
      </c>
      <c r="M234" s="9">
        <f t="shared" si="14"/>
        <v>0.39074299796470124</v>
      </c>
      <c r="N234" s="9">
        <f t="shared" si="15"/>
        <v>9.7550939386649622E-4</v>
      </c>
    </row>
    <row r="235" spans="1:14" x14ac:dyDescent="0.35">
      <c r="A235" s="6">
        <v>45258</v>
      </c>
      <c r="B235" t="s">
        <v>9</v>
      </c>
      <c r="C235" t="s">
        <v>20</v>
      </c>
      <c r="D235" t="s">
        <v>25</v>
      </c>
      <c r="E235" t="s">
        <v>32</v>
      </c>
      <c r="F235" s="4">
        <v>6</v>
      </c>
      <c r="G235" s="4">
        <v>64586.7</v>
      </c>
      <c r="H235" s="4">
        <v>42768.95</v>
      </c>
      <c r="I235" s="8">
        <v>0.05</v>
      </c>
      <c r="J235" s="4">
        <v>21817.75</v>
      </c>
      <c r="K235" s="4" t="str">
        <f t="shared" si="12"/>
        <v>November</v>
      </c>
      <c r="L235">
        <f t="shared" si="13"/>
        <v>11</v>
      </c>
      <c r="M235" s="9">
        <f t="shared" si="14"/>
        <v>0.33780561632658118</v>
      </c>
      <c r="N235" s="9">
        <f t="shared" si="15"/>
        <v>5.9810569664211046E-4</v>
      </c>
    </row>
    <row r="236" spans="1:14" x14ac:dyDescent="0.35">
      <c r="A236" s="6">
        <v>45239</v>
      </c>
      <c r="B236" t="s">
        <v>10</v>
      </c>
      <c r="C236" t="s">
        <v>14</v>
      </c>
      <c r="D236" t="s">
        <v>27</v>
      </c>
      <c r="E236" t="s">
        <v>38</v>
      </c>
      <c r="F236" s="4">
        <v>4</v>
      </c>
      <c r="G236" s="4">
        <v>140986.79999999999</v>
      </c>
      <c r="H236" s="4">
        <v>110977.17</v>
      </c>
      <c r="I236" s="8">
        <v>0.1</v>
      </c>
      <c r="J236" s="4">
        <v>30009.63</v>
      </c>
      <c r="K236" s="4" t="str">
        <f t="shared" si="12"/>
        <v>November</v>
      </c>
      <c r="L236">
        <f t="shared" si="13"/>
        <v>11</v>
      </c>
      <c r="M236" s="9">
        <f t="shared" si="14"/>
        <v>0.21285418209364285</v>
      </c>
      <c r="N236" s="9">
        <f t="shared" si="15"/>
        <v>1.3056094866488285E-3</v>
      </c>
    </row>
    <row r="237" spans="1:14" x14ac:dyDescent="0.35">
      <c r="A237" s="6">
        <v>45130</v>
      </c>
      <c r="B237" t="s">
        <v>11</v>
      </c>
      <c r="C237" t="s">
        <v>18</v>
      </c>
      <c r="D237" t="s">
        <v>26</v>
      </c>
      <c r="E237" t="s">
        <v>30</v>
      </c>
      <c r="F237" s="4">
        <v>1</v>
      </c>
      <c r="G237" s="4">
        <v>29156.799999999999</v>
      </c>
      <c r="H237" s="4">
        <v>18636.53</v>
      </c>
      <c r="I237" s="8">
        <v>0.2</v>
      </c>
      <c r="J237" s="4">
        <v>10520.27</v>
      </c>
      <c r="K237" s="4" t="str">
        <f t="shared" si="12"/>
        <v>July</v>
      </c>
      <c r="L237">
        <f t="shared" si="13"/>
        <v>7</v>
      </c>
      <c r="M237" s="9">
        <f t="shared" si="14"/>
        <v>0.36081703067551996</v>
      </c>
      <c r="N237" s="9">
        <f t="shared" si="15"/>
        <v>2.7000679978779973E-4</v>
      </c>
    </row>
    <row r="238" spans="1:14" x14ac:dyDescent="0.35">
      <c r="A238" s="6">
        <v>45034</v>
      </c>
      <c r="B238" t="s">
        <v>12</v>
      </c>
      <c r="C238" t="s">
        <v>23</v>
      </c>
      <c r="D238" t="s">
        <v>27</v>
      </c>
      <c r="E238" t="s">
        <v>31</v>
      </c>
      <c r="F238" s="4">
        <v>4</v>
      </c>
      <c r="G238" s="4">
        <v>49759</v>
      </c>
      <c r="H238" s="4">
        <v>38118.080000000002</v>
      </c>
      <c r="I238" s="8">
        <v>0.15</v>
      </c>
      <c r="J238" s="4">
        <v>11640.92</v>
      </c>
      <c r="K238" s="4" t="str">
        <f t="shared" si="12"/>
        <v>April</v>
      </c>
      <c r="L238">
        <f t="shared" si="13"/>
        <v>4</v>
      </c>
      <c r="M238" s="9">
        <f t="shared" si="14"/>
        <v>0.23394601981551078</v>
      </c>
      <c r="N238" s="9">
        <f t="shared" si="15"/>
        <v>4.6079365193166358E-4</v>
      </c>
    </row>
    <row r="239" spans="1:14" x14ac:dyDescent="0.35">
      <c r="A239" s="6">
        <v>44946</v>
      </c>
      <c r="B239" t="s">
        <v>9</v>
      </c>
      <c r="C239" t="s">
        <v>13</v>
      </c>
      <c r="D239" t="s">
        <v>26</v>
      </c>
      <c r="E239" t="s">
        <v>34</v>
      </c>
      <c r="F239" s="4">
        <v>6</v>
      </c>
      <c r="G239" s="4">
        <v>99006</v>
      </c>
      <c r="H239" s="4">
        <v>67600.539999999994</v>
      </c>
      <c r="I239" s="8">
        <v>0</v>
      </c>
      <c r="J239" s="4">
        <v>31405.46</v>
      </c>
      <c r="K239" s="4" t="str">
        <f t="shared" si="12"/>
        <v>January</v>
      </c>
      <c r="L239">
        <f t="shared" si="13"/>
        <v>1</v>
      </c>
      <c r="M239" s="9">
        <f t="shared" si="14"/>
        <v>0.31720764398117285</v>
      </c>
      <c r="N239" s="9">
        <f t="shared" si="15"/>
        <v>9.1684592341378002E-4</v>
      </c>
    </row>
    <row r="240" spans="1:14" x14ac:dyDescent="0.35">
      <c r="A240" s="6">
        <v>45251</v>
      </c>
      <c r="B240" t="s">
        <v>10</v>
      </c>
      <c r="C240" t="s">
        <v>14</v>
      </c>
      <c r="D240" t="s">
        <v>27</v>
      </c>
      <c r="E240" t="s">
        <v>40</v>
      </c>
      <c r="F240" s="4">
        <v>3</v>
      </c>
      <c r="G240" s="4">
        <v>50824.800000000003</v>
      </c>
      <c r="H240" s="4">
        <v>39819.64</v>
      </c>
      <c r="I240" s="8">
        <v>0.2</v>
      </c>
      <c r="J240" s="4">
        <v>11005.16</v>
      </c>
      <c r="K240" s="4" t="str">
        <f t="shared" si="12"/>
        <v>November</v>
      </c>
      <c r="L240">
        <f t="shared" si="13"/>
        <v>11</v>
      </c>
      <c r="M240" s="9">
        <f t="shared" si="14"/>
        <v>0.21653129968047094</v>
      </c>
      <c r="N240" s="9">
        <f t="shared" si="15"/>
        <v>4.7066350209402149E-4</v>
      </c>
    </row>
    <row r="241" spans="1:14" x14ac:dyDescent="0.35">
      <c r="A241" s="6">
        <v>45177</v>
      </c>
      <c r="B241" t="s">
        <v>12</v>
      </c>
      <c r="C241" t="s">
        <v>23</v>
      </c>
      <c r="D241" t="s">
        <v>25</v>
      </c>
      <c r="E241" t="s">
        <v>32</v>
      </c>
      <c r="F241" s="4">
        <v>4</v>
      </c>
      <c r="G241" s="4">
        <v>133552</v>
      </c>
      <c r="H241" s="4">
        <v>89476.4</v>
      </c>
      <c r="I241" s="8">
        <v>0.2</v>
      </c>
      <c r="J241" s="4">
        <v>44075.6</v>
      </c>
      <c r="K241" s="4" t="str">
        <f t="shared" si="12"/>
        <v>September</v>
      </c>
      <c r="L241">
        <f t="shared" si="13"/>
        <v>9</v>
      </c>
      <c r="M241" s="9">
        <f t="shared" si="14"/>
        <v>0.33002575775727805</v>
      </c>
      <c r="N241" s="9">
        <f t="shared" si="15"/>
        <v>1.2367594566365387E-3</v>
      </c>
    </row>
    <row r="242" spans="1:14" x14ac:dyDescent="0.35">
      <c r="A242" s="6">
        <v>45220</v>
      </c>
      <c r="B242" t="s">
        <v>9</v>
      </c>
      <c r="C242" t="s">
        <v>20</v>
      </c>
      <c r="D242" t="s">
        <v>28</v>
      </c>
      <c r="E242" t="s">
        <v>39</v>
      </c>
      <c r="F242" s="4">
        <v>2</v>
      </c>
      <c r="G242" s="4">
        <v>28616.400000000001</v>
      </c>
      <c r="H242" s="4">
        <v>19236.28</v>
      </c>
      <c r="I242" s="8">
        <v>0.1</v>
      </c>
      <c r="J242" s="4">
        <v>9380.1200000000008</v>
      </c>
      <c r="K242" s="4" t="str">
        <f t="shared" si="12"/>
        <v>October</v>
      </c>
      <c r="L242">
        <f t="shared" si="13"/>
        <v>10</v>
      </c>
      <c r="M242" s="9">
        <f t="shared" si="14"/>
        <v>0.32778826127675043</v>
      </c>
      <c r="N242" s="9">
        <f t="shared" si="15"/>
        <v>2.6500242089144189E-4</v>
      </c>
    </row>
    <row r="243" spans="1:14" x14ac:dyDescent="0.35">
      <c r="A243" s="6">
        <v>44934</v>
      </c>
      <c r="B243" t="s">
        <v>11</v>
      </c>
      <c r="C243" t="s">
        <v>17</v>
      </c>
      <c r="D243" t="s">
        <v>26</v>
      </c>
      <c r="E243" t="s">
        <v>34</v>
      </c>
      <c r="F243" s="4">
        <v>5</v>
      </c>
      <c r="G243" s="4">
        <v>62201.25</v>
      </c>
      <c r="H243" s="4">
        <v>37349.57</v>
      </c>
      <c r="I243" s="8">
        <v>0.05</v>
      </c>
      <c r="J243" s="4">
        <v>24851.68</v>
      </c>
      <c r="K243" s="4" t="str">
        <f t="shared" si="12"/>
        <v>January</v>
      </c>
      <c r="L243">
        <f t="shared" si="13"/>
        <v>1</v>
      </c>
      <c r="M243" s="9">
        <f t="shared" si="14"/>
        <v>0.39953666525994253</v>
      </c>
      <c r="N243" s="9">
        <f t="shared" si="15"/>
        <v>5.7601521618630576E-4</v>
      </c>
    </row>
    <row r="244" spans="1:14" x14ac:dyDescent="0.35">
      <c r="A244" s="6">
        <v>45101</v>
      </c>
      <c r="B244" t="s">
        <v>10</v>
      </c>
      <c r="C244" t="s">
        <v>14</v>
      </c>
      <c r="D244" t="s">
        <v>27</v>
      </c>
      <c r="E244" t="s">
        <v>40</v>
      </c>
      <c r="F244" s="4">
        <v>5</v>
      </c>
      <c r="G244" s="4">
        <v>163148</v>
      </c>
      <c r="H244" s="4">
        <v>129023.43</v>
      </c>
      <c r="I244" s="8">
        <v>0.2</v>
      </c>
      <c r="J244" s="4">
        <v>34124.57</v>
      </c>
      <c r="K244" s="4" t="str">
        <f t="shared" si="12"/>
        <v>June</v>
      </c>
      <c r="L244">
        <f t="shared" si="13"/>
        <v>6</v>
      </c>
      <c r="M244" s="9">
        <f t="shared" si="14"/>
        <v>0.20916327506313287</v>
      </c>
      <c r="N244" s="9">
        <f t="shared" si="15"/>
        <v>1.5108334718412155E-3</v>
      </c>
    </row>
    <row r="245" spans="1:14" x14ac:dyDescent="0.35">
      <c r="A245" s="6">
        <v>44952</v>
      </c>
      <c r="B245" t="s">
        <v>10</v>
      </c>
      <c r="C245" t="s">
        <v>14</v>
      </c>
      <c r="D245" t="s">
        <v>25</v>
      </c>
      <c r="E245" t="s">
        <v>29</v>
      </c>
      <c r="F245" s="4">
        <v>2</v>
      </c>
      <c r="G245" s="4">
        <v>43648.7</v>
      </c>
      <c r="H245" s="4">
        <v>26670.959999999999</v>
      </c>
      <c r="I245" s="8">
        <v>0.05</v>
      </c>
      <c r="J245" s="4">
        <v>16977.740000000002</v>
      </c>
      <c r="K245" s="4" t="str">
        <f t="shared" si="12"/>
        <v>January</v>
      </c>
      <c r="L245">
        <f t="shared" si="13"/>
        <v>1</v>
      </c>
      <c r="M245" s="9">
        <f t="shared" si="14"/>
        <v>0.38896324518255992</v>
      </c>
      <c r="N245" s="9">
        <f t="shared" si="15"/>
        <v>4.0420916567996946E-4</v>
      </c>
    </row>
    <row r="246" spans="1:14" x14ac:dyDescent="0.35">
      <c r="A246" s="6">
        <v>45215</v>
      </c>
      <c r="B246" t="s">
        <v>11</v>
      </c>
      <c r="C246" t="s">
        <v>17</v>
      </c>
      <c r="D246" t="s">
        <v>26</v>
      </c>
      <c r="E246" t="s">
        <v>43</v>
      </c>
      <c r="F246" s="4">
        <v>4</v>
      </c>
      <c r="G246" s="4">
        <v>173292</v>
      </c>
      <c r="H246" s="4">
        <v>125182.97</v>
      </c>
      <c r="I246" s="8">
        <v>0</v>
      </c>
      <c r="J246" s="4">
        <v>48109.03</v>
      </c>
      <c r="K246" s="4" t="str">
        <f t="shared" si="12"/>
        <v>October</v>
      </c>
      <c r="L246">
        <f t="shared" si="13"/>
        <v>10</v>
      </c>
      <c r="M246" s="9">
        <f t="shared" si="14"/>
        <v>0.27761829744015881</v>
      </c>
      <c r="N246" s="9">
        <f t="shared" si="15"/>
        <v>1.6047720719978666E-3</v>
      </c>
    </row>
    <row r="247" spans="1:14" x14ac:dyDescent="0.35">
      <c r="A247" s="6">
        <v>45146</v>
      </c>
      <c r="B247" t="s">
        <v>12</v>
      </c>
      <c r="C247" t="s">
        <v>21</v>
      </c>
      <c r="D247" t="s">
        <v>25</v>
      </c>
      <c r="E247" t="s">
        <v>37</v>
      </c>
      <c r="F247" s="4">
        <v>6</v>
      </c>
      <c r="G247" s="4">
        <v>96038.399999999994</v>
      </c>
      <c r="H247" s="4">
        <v>66679.11</v>
      </c>
      <c r="I247" s="8">
        <v>0.2</v>
      </c>
      <c r="J247" s="4">
        <v>29359.29</v>
      </c>
      <c r="K247" s="4" t="str">
        <f t="shared" si="12"/>
        <v>August</v>
      </c>
      <c r="L247">
        <f t="shared" si="13"/>
        <v>8</v>
      </c>
      <c r="M247" s="9">
        <f t="shared" si="14"/>
        <v>0.30570365603758498</v>
      </c>
      <c r="N247" s="9">
        <f t="shared" si="15"/>
        <v>8.8936443782378809E-4</v>
      </c>
    </row>
    <row r="248" spans="1:14" x14ac:dyDescent="0.35">
      <c r="A248" s="6">
        <v>45102</v>
      </c>
      <c r="B248" t="s">
        <v>10</v>
      </c>
      <c r="C248" t="s">
        <v>19</v>
      </c>
      <c r="D248" t="s">
        <v>26</v>
      </c>
      <c r="E248" t="s">
        <v>34</v>
      </c>
      <c r="F248" s="4">
        <v>7</v>
      </c>
      <c r="G248" s="4">
        <v>43428</v>
      </c>
      <c r="H248" s="4">
        <v>28303.200000000001</v>
      </c>
      <c r="I248" s="8">
        <v>0</v>
      </c>
      <c r="J248" s="4">
        <v>15124.8</v>
      </c>
      <c r="K248" s="4" t="str">
        <f t="shared" si="12"/>
        <v>June</v>
      </c>
      <c r="L248">
        <f t="shared" si="13"/>
        <v>6</v>
      </c>
      <c r="M248" s="9">
        <f t="shared" si="14"/>
        <v>0.34827300359215252</v>
      </c>
      <c r="N248" s="9">
        <f t="shared" si="15"/>
        <v>4.0216537141197139E-4</v>
      </c>
    </row>
    <row r="249" spans="1:14" x14ac:dyDescent="0.35">
      <c r="A249" s="6">
        <v>45028</v>
      </c>
      <c r="B249" t="s">
        <v>12</v>
      </c>
      <c r="C249" t="s">
        <v>23</v>
      </c>
      <c r="D249" t="s">
        <v>27</v>
      </c>
      <c r="E249" t="s">
        <v>38</v>
      </c>
      <c r="F249" s="4">
        <v>7</v>
      </c>
      <c r="G249" s="4">
        <v>6224.4</v>
      </c>
      <c r="H249" s="4">
        <v>4790.4799999999996</v>
      </c>
      <c r="I249" s="8">
        <v>0.1</v>
      </c>
      <c r="J249" s="4">
        <v>1433.92</v>
      </c>
      <c r="K249" s="4" t="str">
        <f t="shared" si="12"/>
        <v>April</v>
      </c>
      <c r="L249">
        <f t="shared" si="13"/>
        <v>4</v>
      </c>
      <c r="M249" s="9">
        <f t="shared" si="14"/>
        <v>0.23037079879185146</v>
      </c>
      <c r="N249" s="9">
        <f t="shared" si="15"/>
        <v>5.7641110293282549E-5</v>
      </c>
    </row>
    <row r="250" spans="1:14" x14ac:dyDescent="0.35">
      <c r="A250" s="6">
        <v>45265</v>
      </c>
      <c r="B250" t="s">
        <v>10</v>
      </c>
      <c r="C250" t="s">
        <v>19</v>
      </c>
      <c r="D250" t="s">
        <v>25</v>
      </c>
      <c r="E250" t="s">
        <v>32</v>
      </c>
      <c r="F250" s="4">
        <v>2</v>
      </c>
      <c r="G250" s="4">
        <v>13217.6</v>
      </c>
      <c r="H250" s="4">
        <v>9905.98</v>
      </c>
      <c r="I250" s="8">
        <v>0.2</v>
      </c>
      <c r="J250" s="4">
        <v>3311.62</v>
      </c>
      <c r="K250" s="4" t="str">
        <f t="shared" si="12"/>
        <v>December</v>
      </c>
      <c r="L250">
        <f t="shared" si="13"/>
        <v>12</v>
      </c>
      <c r="M250" s="9">
        <f t="shared" si="14"/>
        <v>0.25054624137513615</v>
      </c>
      <c r="N250" s="9">
        <f t="shared" si="15"/>
        <v>1.2240169966783811E-4</v>
      </c>
    </row>
    <row r="251" spans="1:14" x14ac:dyDescent="0.35">
      <c r="A251" s="6">
        <v>44991</v>
      </c>
      <c r="B251" t="s">
        <v>12</v>
      </c>
      <c r="C251" t="s">
        <v>21</v>
      </c>
      <c r="D251" t="s">
        <v>27</v>
      </c>
      <c r="E251" t="s">
        <v>31</v>
      </c>
      <c r="F251" s="4">
        <v>6</v>
      </c>
      <c r="G251" s="4">
        <v>253686</v>
      </c>
      <c r="H251" s="4">
        <v>160353.73000000001</v>
      </c>
      <c r="I251" s="8">
        <v>0</v>
      </c>
      <c r="J251" s="4">
        <v>93332.27</v>
      </c>
      <c r="K251" s="4" t="str">
        <f t="shared" si="12"/>
        <v>March</v>
      </c>
      <c r="L251">
        <f t="shared" si="13"/>
        <v>3</v>
      </c>
      <c r="M251" s="9">
        <f t="shared" si="14"/>
        <v>0.36790469320340896</v>
      </c>
      <c r="N251" s="9">
        <f t="shared" si="15"/>
        <v>2.349261407663659E-3</v>
      </c>
    </row>
    <row r="252" spans="1:14" x14ac:dyDescent="0.35">
      <c r="A252" s="6">
        <v>45231</v>
      </c>
      <c r="B252" t="s">
        <v>11</v>
      </c>
      <c r="C252" t="s">
        <v>18</v>
      </c>
      <c r="D252" t="s">
        <v>25</v>
      </c>
      <c r="E252" t="s">
        <v>29</v>
      </c>
      <c r="F252" s="4">
        <v>5</v>
      </c>
      <c r="G252" s="4">
        <v>53881.5</v>
      </c>
      <c r="H252" s="4">
        <v>37023.32</v>
      </c>
      <c r="I252" s="8">
        <v>0.15</v>
      </c>
      <c r="J252" s="4">
        <v>16858.18</v>
      </c>
      <c r="K252" s="4" t="str">
        <f t="shared" si="12"/>
        <v>November</v>
      </c>
      <c r="L252">
        <f t="shared" si="13"/>
        <v>11</v>
      </c>
      <c r="M252" s="9">
        <f t="shared" si="14"/>
        <v>0.31287510555571024</v>
      </c>
      <c r="N252" s="9">
        <f t="shared" si="15"/>
        <v>4.989700990083388E-4</v>
      </c>
    </row>
    <row r="253" spans="1:14" x14ac:dyDescent="0.35">
      <c r="A253" s="6">
        <v>45256</v>
      </c>
      <c r="B253" t="s">
        <v>11</v>
      </c>
      <c r="C253" t="s">
        <v>16</v>
      </c>
      <c r="D253" t="s">
        <v>25</v>
      </c>
      <c r="E253" t="s">
        <v>37</v>
      </c>
      <c r="F253" s="4">
        <v>6</v>
      </c>
      <c r="G253" s="4">
        <v>241909.2</v>
      </c>
      <c r="H253" s="4">
        <v>143237.12</v>
      </c>
      <c r="I253" s="8">
        <v>0.1</v>
      </c>
      <c r="J253" s="4">
        <v>98672.08</v>
      </c>
      <c r="K253" s="4" t="str">
        <f t="shared" si="12"/>
        <v>November</v>
      </c>
      <c r="L253">
        <f t="shared" si="13"/>
        <v>11</v>
      </c>
      <c r="M253" s="9">
        <f t="shared" si="14"/>
        <v>0.40788891038455749</v>
      </c>
      <c r="N253" s="9">
        <f t="shared" si="15"/>
        <v>2.2402022489171245E-3</v>
      </c>
    </row>
    <row r="254" spans="1:14" x14ac:dyDescent="0.35">
      <c r="A254" s="6">
        <v>45043</v>
      </c>
      <c r="B254" t="s">
        <v>10</v>
      </c>
      <c r="C254" t="s">
        <v>19</v>
      </c>
      <c r="D254" t="s">
        <v>27</v>
      </c>
      <c r="E254" t="s">
        <v>40</v>
      </c>
      <c r="F254" s="4">
        <v>5</v>
      </c>
      <c r="G254" s="4">
        <v>137469.75</v>
      </c>
      <c r="H254" s="4">
        <v>92076.62</v>
      </c>
      <c r="I254" s="8">
        <v>0.05</v>
      </c>
      <c r="J254" s="4">
        <v>45393.13</v>
      </c>
      <c r="K254" s="4" t="str">
        <f t="shared" si="12"/>
        <v>April</v>
      </c>
      <c r="L254">
        <f t="shared" si="13"/>
        <v>4</v>
      </c>
      <c r="M254" s="9">
        <f t="shared" si="14"/>
        <v>0.3302044995353523</v>
      </c>
      <c r="N254" s="9">
        <f t="shared" si="15"/>
        <v>1.2730398145588296E-3</v>
      </c>
    </row>
    <row r="255" spans="1:14" x14ac:dyDescent="0.35">
      <c r="A255" s="6">
        <v>45154</v>
      </c>
      <c r="B255" t="s">
        <v>12</v>
      </c>
      <c r="C255" t="s">
        <v>24</v>
      </c>
      <c r="D255" t="s">
        <v>27</v>
      </c>
      <c r="E255" t="s">
        <v>31</v>
      </c>
      <c r="F255" s="4">
        <v>5</v>
      </c>
      <c r="G255" s="4">
        <v>67412</v>
      </c>
      <c r="H255" s="4">
        <v>41223.61</v>
      </c>
      <c r="I255" s="8">
        <v>0.2</v>
      </c>
      <c r="J255" s="4">
        <v>26188.39</v>
      </c>
      <c r="K255" s="4" t="str">
        <f t="shared" si="12"/>
        <v>August</v>
      </c>
      <c r="L255">
        <f t="shared" si="13"/>
        <v>8</v>
      </c>
      <c r="M255" s="9">
        <f t="shared" si="14"/>
        <v>0.38848261437132853</v>
      </c>
      <c r="N255" s="9">
        <f t="shared" si="15"/>
        <v>6.242694118454411E-4</v>
      </c>
    </row>
    <row r="256" spans="1:14" x14ac:dyDescent="0.35">
      <c r="A256" s="6">
        <v>44947</v>
      </c>
      <c r="B256" t="s">
        <v>9</v>
      </c>
      <c r="C256" t="s">
        <v>15</v>
      </c>
      <c r="D256" t="s">
        <v>26</v>
      </c>
      <c r="E256" t="s">
        <v>35</v>
      </c>
      <c r="F256" s="4">
        <v>6</v>
      </c>
      <c r="G256" s="4">
        <v>95036.1</v>
      </c>
      <c r="H256" s="4">
        <v>69269.22</v>
      </c>
      <c r="I256" s="8">
        <v>0.05</v>
      </c>
      <c r="J256" s="4">
        <v>25766.880000000001</v>
      </c>
      <c r="K256" s="4" t="str">
        <f t="shared" si="12"/>
        <v>January</v>
      </c>
      <c r="L256">
        <f t="shared" si="13"/>
        <v>1</v>
      </c>
      <c r="M256" s="9">
        <f t="shared" si="14"/>
        <v>0.27112728742025399</v>
      </c>
      <c r="N256" s="9">
        <f t="shared" si="15"/>
        <v>8.800826299632785E-4</v>
      </c>
    </row>
    <row r="257" spans="1:14" x14ac:dyDescent="0.35">
      <c r="A257" s="6">
        <v>45218</v>
      </c>
      <c r="B257" t="s">
        <v>9</v>
      </c>
      <c r="C257" t="s">
        <v>15</v>
      </c>
      <c r="D257" t="s">
        <v>25</v>
      </c>
      <c r="E257" t="s">
        <v>37</v>
      </c>
      <c r="F257" s="4">
        <v>7</v>
      </c>
      <c r="G257" s="4">
        <v>168170.8</v>
      </c>
      <c r="H257" s="4">
        <v>132630.43</v>
      </c>
      <c r="I257" s="8">
        <v>0.15</v>
      </c>
      <c r="J257" s="4">
        <v>35540.370000000003</v>
      </c>
      <c r="K257" s="4" t="str">
        <f t="shared" si="12"/>
        <v>October</v>
      </c>
      <c r="L257">
        <f t="shared" si="13"/>
        <v>10</v>
      </c>
      <c r="M257" s="9">
        <f t="shared" si="14"/>
        <v>0.21133496421495293</v>
      </c>
      <c r="N257" s="9">
        <f t="shared" si="15"/>
        <v>1.5573471548919672E-3</v>
      </c>
    </row>
    <row r="258" spans="1:14" x14ac:dyDescent="0.35">
      <c r="A258" s="6">
        <v>44978</v>
      </c>
      <c r="B258" t="s">
        <v>9</v>
      </c>
      <c r="C258" t="s">
        <v>15</v>
      </c>
      <c r="D258" t="s">
        <v>25</v>
      </c>
      <c r="E258" t="s">
        <v>37</v>
      </c>
      <c r="F258" s="4">
        <v>5</v>
      </c>
      <c r="G258" s="4">
        <v>224064</v>
      </c>
      <c r="H258" s="4">
        <v>128916.39</v>
      </c>
      <c r="I258" s="8">
        <v>0.1</v>
      </c>
      <c r="J258" s="4">
        <v>95147.61</v>
      </c>
      <c r="K258" s="4" t="str">
        <f t="shared" si="12"/>
        <v>February</v>
      </c>
      <c r="L258">
        <f t="shared" si="13"/>
        <v>2</v>
      </c>
      <c r="M258" s="9">
        <f t="shared" si="14"/>
        <v>0.42464478898886032</v>
      </c>
      <c r="N258" s="9">
        <f t="shared" si="15"/>
        <v>2.0749466192330284E-3</v>
      </c>
    </row>
    <row r="259" spans="1:14" x14ac:dyDescent="0.35">
      <c r="A259" s="6">
        <v>45072</v>
      </c>
      <c r="B259" t="s">
        <v>10</v>
      </c>
      <c r="C259" t="s">
        <v>22</v>
      </c>
      <c r="D259" t="s">
        <v>27</v>
      </c>
      <c r="E259" t="s">
        <v>40</v>
      </c>
      <c r="F259" s="4">
        <v>4</v>
      </c>
      <c r="G259" s="4">
        <v>119738</v>
      </c>
      <c r="H259" s="4">
        <v>84125.94</v>
      </c>
      <c r="I259" s="8">
        <v>0.05</v>
      </c>
      <c r="J259" s="4">
        <v>35612.06</v>
      </c>
      <c r="K259" s="4" t="str">
        <f t="shared" ref="K259:K322" si="16">TEXT(A259,"mmmm")</f>
        <v>May</v>
      </c>
      <c r="L259">
        <f t="shared" ref="L259:L322" si="17">MONTH(A259)</f>
        <v>5</v>
      </c>
      <c r="M259" s="9">
        <f t="shared" ref="M259:M322" si="18">J259/G259</f>
        <v>0.29741652608194558</v>
      </c>
      <c r="N259" s="9">
        <f t="shared" ref="N259:N322" si="19">G259/SUM(G:G)</f>
        <v>1.1088347895856735E-3</v>
      </c>
    </row>
    <row r="260" spans="1:14" x14ac:dyDescent="0.35">
      <c r="A260" s="6">
        <v>45034</v>
      </c>
      <c r="B260" t="s">
        <v>10</v>
      </c>
      <c r="C260" t="s">
        <v>14</v>
      </c>
      <c r="D260" t="s">
        <v>27</v>
      </c>
      <c r="E260" t="s">
        <v>31</v>
      </c>
      <c r="F260" s="4">
        <v>2</v>
      </c>
      <c r="G260" s="4">
        <v>38392.199999999997</v>
      </c>
      <c r="H260" s="4">
        <v>22298.41</v>
      </c>
      <c r="I260" s="8">
        <v>0.1</v>
      </c>
      <c r="J260" s="4">
        <v>16093.79</v>
      </c>
      <c r="K260" s="4" t="str">
        <f t="shared" si="16"/>
        <v>April</v>
      </c>
      <c r="L260">
        <f t="shared" si="17"/>
        <v>4</v>
      </c>
      <c r="M260" s="9">
        <f t="shared" si="18"/>
        <v>0.41919426341809018</v>
      </c>
      <c r="N260" s="9">
        <f t="shared" si="19"/>
        <v>3.5553130174824279E-4</v>
      </c>
    </row>
    <row r="261" spans="1:14" x14ac:dyDescent="0.35">
      <c r="A261" s="6">
        <v>45224</v>
      </c>
      <c r="B261" t="s">
        <v>10</v>
      </c>
      <c r="C261" t="s">
        <v>22</v>
      </c>
      <c r="D261" t="s">
        <v>27</v>
      </c>
      <c r="E261" t="s">
        <v>40</v>
      </c>
      <c r="F261" s="4">
        <v>7</v>
      </c>
      <c r="G261" s="4">
        <v>167902</v>
      </c>
      <c r="H261" s="4">
        <v>116159.31</v>
      </c>
      <c r="I261" s="8">
        <v>0</v>
      </c>
      <c r="J261" s="4">
        <v>51742.69</v>
      </c>
      <c r="K261" s="4" t="str">
        <f t="shared" si="16"/>
        <v>October</v>
      </c>
      <c r="L261">
        <f t="shared" si="17"/>
        <v>10</v>
      </c>
      <c r="M261" s="9">
        <f t="shared" si="18"/>
        <v>0.30817196936308083</v>
      </c>
      <c r="N261" s="9">
        <f t="shared" si="19"/>
        <v>1.5548579301559553E-3</v>
      </c>
    </row>
    <row r="262" spans="1:14" x14ac:dyDescent="0.35">
      <c r="A262" s="6">
        <v>45067</v>
      </c>
      <c r="B262" t="s">
        <v>11</v>
      </c>
      <c r="C262" t="s">
        <v>18</v>
      </c>
      <c r="D262" t="s">
        <v>25</v>
      </c>
      <c r="E262" t="s">
        <v>32</v>
      </c>
      <c r="F262" s="4">
        <v>1</v>
      </c>
      <c r="G262" s="4">
        <v>17740</v>
      </c>
      <c r="H262" s="4">
        <v>12565.03</v>
      </c>
      <c r="I262" s="8">
        <v>0.2</v>
      </c>
      <c r="J262" s="4">
        <v>5174.97</v>
      </c>
      <c r="K262" s="4" t="str">
        <f t="shared" si="16"/>
        <v>May</v>
      </c>
      <c r="L262">
        <f t="shared" si="17"/>
        <v>5</v>
      </c>
      <c r="M262" s="9">
        <f t="shared" si="18"/>
        <v>0.29171195039458853</v>
      </c>
      <c r="N262" s="9">
        <f t="shared" si="19"/>
        <v>1.6428142416985292E-4</v>
      </c>
    </row>
    <row r="263" spans="1:14" x14ac:dyDescent="0.35">
      <c r="A263" s="6">
        <v>45197</v>
      </c>
      <c r="B263" t="s">
        <v>9</v>
      </c>
      <c r="C263" t="s">
        <v>20</v>
      </c>
      <c r="D263" t="s">
        <v>28</v>
      </c>
      <c r="E263" t="s">
        <v>39</v>
      </c>
      <c r="F263" s="4">
        <v>6</v>
      </c>
      <c r="G263" s="4">
        <v>59610</v>
      </c>
      <c r="H263" s="4">
        <v>44614.27</v>
      </c>
      <c r="I263" s="8">
        <v>0</v>
      </c>
      <c r="J263" s="4">
        <v>14995.73</v>
      </c>
      <c r="K263" s="4" t="str">
        <f t="shared" si="16"/>
        <v>September</v>
      </c>
      <c r="L263">
        <f t="shared" si="17"/>
        <v>9</v>
      </c>
      <c r="M263" s="9">
        <f t="shared" si="18"/>
        <v>0.25156399932897167</v>
      </c>
      <c r="N263" s="9">
        <f t="shared" si="19"/>
        <v>5.5201892304199173E-4</v>
      </c>
    </row>
    <row r="264" spans="1:14" x14ac:dyDescent="0.35">
      <c r="A264" s="6">
        <v>45219</v>
      </c>
      <c r="B264" t="s">
        <v>10</v>
      </c>
      <c r="C264" t="s">
        <v>19</v>
      </c>
      <c r="D264" t="s">
        <v>27</v>
      </c>
      <c r="E264" t="s">
        <v>38</v>
      </c>
      <c r="F264" s="4">
        <v>2</v>
      </c>
      <c r="G264" s="4">
        <v>13590</v>
      </c>
      <c r="H264" s="4">
        <v>8279.27</v>
      </c>
      <c r="I264" s="8">
        <v>0</v>
      </c>
      <c r="J264" s="4">
        <v>5310.73</v>
      </c>
      <c r="K264" s="4" t="str">
        <f t="shared" si="16"/>
        <v>October</v>
      </c>
      <c r="L264">
        <f t="shared" si="17"/>
        <v>10</v>
      </c>
      <c r="M264" s="9">
        <f t="shared" si="18"/>
        <v>0.39078219278881526</v>
      </c>
      <c r="N264" s="9">
        <f t="shared" si="19"/>
        <v>1.2585031310418835E-4</v>
      </c>
    </row>
    <row r="265" spans="1:14" x14ac:dyDescent="0.35">
      <c r="A265" s="6">
        <v>45090</v>
      </c>
      <c r="B265" t="s">
        <v>11</v>
      </c>
      <c r="C265" t="s">
        <v>18</v>
      </c>
      <c r="D265" t="s">
        <v>26</v>
      </c>
      <c r="E265" t="s">
        <v>35</v>
      </c>
      <c r="F265" s="4">
        <v>4</v>
      </c>
      <c r="G265" s="4">
        <v>29362.6</v>
      </c>
      <c r="H265" s="4">
        <v>22091.91</v>
      </c>
      <c r="I265" s="8">
        <v>0.05</v>
      </c>
      <c r="J265" s="4">
        <v>7270.69</v>
      </c>
      <c r="K265" s="4" t="str">
        <f t="shared" si="16"/>
        <v>June</v>
      </c>
      <c r="L265">
        <f t="shared" si="17"/>
        <v>6</v>
      </c>
      <c r="M265" s="9">
        <f t="shared" si="18"/>
        <v>0.24761737720774046</v>
      </c>
      <c r="N265" s="9">
        <f t="shared" si="19"/>
        <v>2.7191261247630906E-4</v>
      </c>
    </row>
    <row r="266" spans="1:14" x14ac:dyDescent="0.35">
      <c r="A266" s="6">
        <v>45087</v>
      </c>
      <c r="B266" t="s">
        <v>10</v>
      </c>
      <c r="C266" t="s">
        <v>14</v>
      </c>
      <c r="D266" t="s">
        <v>25</v>
      </c>
      <c r="E266" t="s">
        <v>32</v>
      </c>
      <c r="F266" s="4">
        <v>5</v>
      </c>
      <c r="G266" s="4">
        <v>119970</v>
      </c>
      <c r="H266" s="4">
        <v>92054.77</v>
      </c>
      <c r="I266" s="8">
        <v>0.1</v>
      </c>
      <c r="J266" s="4">
        <v>27915.23</v>
      </c>
      <c r="K266" s="4" t="str">
        <f t="shared" si="16"/>
        <v>June</v>
      </c>
      <c r="L266">
        <f t="shared" si="17"/>
        <v>6</v>
      </c>
      <c r="M266" s="9">
        <f t="shared" si="18"/>
        <v>0.23268508793865134</v>
      </c>
      <c r="N266" s="9">
        <f t="shared" si="19"/>
        <v>1.1109832276018745E-3</v>
      </c>
    </row>
    <row r="267" spans="1:14" x14ac:dyDescent="0.35">
      <c r="A267" s="6">
        <v>45086</v>
      </c>
      <c r="B267" t="s">
        <v>9</v>
      </c>
      <c r="C267" t="s">
        <v>13</v>
      </c>
      <c r="D267" t="s">
        <v>27</v>
      </c>
      <c r="E267" t="s">
        <v>41</v>
      </c>
      <c r="F267" s="4">
        <v>5</v>
      </c>
      <c r="G267" s="4">
        <v>74313</v>
      </c>
      <c r="H267" s="4">
        <v>52150.89</v>
      </c>
      <c r="I267" s="8">
        <v>0.1</v>
      </c>
      <c r="J267" s="4">
        <v>22162.11</v>
      </c>
      <c r="K267" s="4" t="str">
        <f t="shared" si="16"/>
        <v>June</v>
      </c>
      <c r="L267">
        <f t="shared" si="17"/>
        <v>6</v>
      </c>
      <c r="M267" s="9">
        <f t="shared" si="18"/>
        <v>0.29822655524605385</v>
      </c>
      <c r="N267" s="9">
        <f t="shared" si="19"/>
        <v>6.8817618231873051E-4</v>
      </c>
    </row>
    <row r="268" spans="1:14" x14ac:dyDescent="0.35">
      <c r="A268" s="6">
        <v>45184</v>
      </c>
      <c r="B268" t="s">
        <v>9</v>
      </c>
      <c r="C268" t="s">
        <v>20</v>
      </c>
      <c r="D268" t="s">
        <v>27</v>
      </c>
      <c r="E268" t="s">
        <v>41</v>
      </c>
      <c r="F268" s="4">
        <v>5</v>
      </c>
      <c r="G268" s="4">
        <v>199600</v>
      </c>
      <c r="H268" s="4">
        <v>134568.67000000001</v>
      </c>
      <c r="I268" s="8">
        <v>0</v>
      </c>
      <c r="J268" s="4">
        <v>65031.33</v>
      </c>
      <c r="K268" s="4" t="str">
        <f t="shared" si="16"/>
        <v>September</v>
      </c>
      <c r="L268">
        <f t="shared" si="17"/>
        <v>9</v>
      </c>
      <c r="M268" s="9">
        <f t="shared" si="18"/>
        <v>0.32580826653306616</v>
      </c>
      <c r="N268" s="9">
        <f t="shared" si="19"/>
        <v>1.8483975346281084E-3</v>
      </c>
    </row>
    <row r="269" spans="1:14" x14ac:dyDescent="0.35">
      <c r="A269" s="6">
        <v>45093</v>
      </c>
      <c r="B269" t="s">
        <v>11</v>
      </c>
      <c r="C269" t="s">
        <v>17</v>
      </c>
      <c r="D269" t="s">
        <v>25</v>
      </c>
      <c r="E269" t="s">
        <v>33</v>
      </c>
      <c r="F269" s="4">
        <v>2</v>
      </c>
      <c r="G269" s="4">
        <v>55065.8</v>
      </c>
      <c r="H269" s="4">
        <v>36180.980000000003</v>
      </c>
      <c r="I269" s="8">
        <v>0.05</v>
      </c>
      <c r="J269" s="4">
        <v>18884.82</v>
      </c>
      <c r="K269" s="4" t="str">
        <f t="shared" si="16"/>
        <v>June</v>
      </c>
      <c r="L269">
        <f t="shared" si="17"/>
        <v>6</v>
      </c>
      <c r="M269" s="9">
        <f t="shared" si="18"/>
        <v>0.34295007064275829</v>
      </c>
      <c r="N269" s="9">
        <f t="shared" si="19"/>
        <v>5.0993731945052356E-4</v>
      </c>
    </row>
    <row r="270" spans="1:14" x14ac:dyDescent="0.35">
      <c r="A270" s="6">
        <v>45214</v>
      </c>
      <c r="B270" t="s">
        <v>12</v>
      </c>
      <c r="C270" t="s">
        <v>23</v>
      </c>
      <c r="D270" t="s">
        <v>25</v>
      </c>
      <c r="E270" t="s">
        <v>29</v>
      </c>
      <c r="F270" s="4">
        <v>4</v>
      </c>
      <c r="G270" s="4">
        <v>148074.6</v>
      </c>
      <c r="H270" s="4">
        <v>93924.72</v>
      </c>
      <c r="I270" s="8">
        <v>0.05</v>
      </c>
      <c r="J270" s="4">
        <v>54149.88</v>
      </c>
      <c r="K270" s="4" t="str">
        <f t="shared" si="16"/>
        <v>October</v>
      </c>
      <c r="L270">
        <f t="shared" si="17"/>
        <v>10</v>
      </c>
      <c r="M270" s="9">
        <f t="shared" si="18"/>
        <v>0.36569323840820772</v>
      </c>
      <c r="N270" s="9">
        <f t="shared" si="19"/>
        <v>1.3712461201455075E-3</v>
      </c>
    </row>
    <row r="271" spans="1:14" x14ac:dyDescent="0.35">
      <c r="A271" s="6">
        <v>45062</v>
      </c>
      <c r="B271" t="s">
        <v>9</v>
      </c>
      <c r="C271" t="s">
        <v>13</v>
      </c>
      <c r="D271" t="s">
        <v>28</v>
      </c>
      <c r="E271" t="s">
        <v>44</v>
      </c>
      <c r="F271" s="4">
        <v>5</v>
      </c>
      <c r="G271" s="4">
        <v>195109</v>
      </c>
      <c r="H271" s="4">
        <v>116668.71</v>
      </c>
      <c r="I271" s="8">
        <v>0.15</v>
      </c>
      <c r="J271" s="4">
        <v>78440.289999999994</v>
      </c>
      <c r="K271" s="4" t="str">
        <f t="shared" si="16"/>
        <v>May</v>
      </c>
      <c r="L271">
        <f t="shared" si="17"/>
        <v>5</v>
      </c>
      <c r="M271" s="9">
        <f t="shared" si="18"/>
        <v>0.40203317120173848</v>
      </c>
      <c r="N271" s="9">
        <f t="shared" si="19"/>
        <v>1.806808590098976E-3</v>
      </c>
    </row>
    <row r="272" spans="1:14" x14ac:dyDescent="0.35">
      <c r="A272" s="6">
        <v>44931</v>
      </c>
      <c r="B272" t="s">
        <v>12</v>
      </c>
      <c r="C272" t="s">
        <v>21</v>
      </c>
      <c r="D272" t="s">
        <v>28</v>
      </c>
      <c r="E272" t="s">
        <v>39</v>
      </c>
      <c r="F272" s="4">
        <v>7</v>
      </c>
      <c r="G272" s="4">
        <v>42863.8</v>
      </c>
      <c r="H272" s="4">
        <v>24299.62</v>
      </c>
      <c r="I272" s="8">
        <v>0.15</v>
      </c>
      <c r="J272" s="4">
        <v>18564.18</v>
      </c>
      <c r="K272" s="4" t="str">
        <f t="shared" si="16"/>
        <v>January</v>
      </c>
      <c r="L272">
        <f t="shared" si="17"/>
        <v>1</v>
      </c>
      <c r="M272" s="9">
        <f t="shared" si="18"/>
        <v>0.43309692561088842</v>
      </c>
      <c r="N272" s="9">
        <f t="shared" si="19"/>
        <v>3.9694059240877913E-4</v>
      </c>
    </row>
    <row r="273" spans="1:14" x14ac:dyDescent="0.35">
      <c r="A273" s="6">
        <v>45226</v>
      </c>
      <c r="B273" t="s">
        <v>11</v>
      </c>
      <c r="C273" t="s">
        <v>17</v>
      </c>
      <c r="D273" t="s">
        <v>26</v>
      </c>
      <c r="E273" t="s">
        <v>43</v>
      </c>
      <c r="F273" s="4">
        <v>6</v>
      </c>
      <c r="G273" s="4">
        <v>199517.1</v>
      </c>
      <c r="H273" s="4">
        <v>143658.89000000001</v>
      </c>
      <c r="I273" s="8">
        <v>0.05</v>
      </c>
      <c r="J273" s="4">
        <v>55858.21</v>
      </c>
      <c r="K273" s="4" t="str">
        <f t="shared" si="16"/>
        <v>October</v>
      </c>
      <c r="L273">
        <f t="shared" si="17"/>
        <v>10</v>
      </c>
      <c r="M273" s="9">
        <f t="shared" si="18"/>
        <v>0.27996703039488846</v>
      </c>
      <c r="N273" s="9">
        <f t="shared" si="19"/>
        <v>1.8476298384576641E-3</v>
      </c>
    </row>
    <row r="274" spans="1:14" x14ac:dyDescent="0.35">
      <c r="A274" s="6">
        <v>45135</v>
      </c>
      <c r="B274" t="s">
        <v>12</v>
      </c>
      <c r="C274" t="s">
        <v>24</v>
      </c>
      <c r="D274" t="s">
        <v>25</v>
      </c>
      <c r="E274" t="s">
        <v>32</v>
      </c>
      <c r="F274" s="4">
        <v>6</v>
      </c>
      <c r="G274" s="4">
        <v>29319.9</v>
      </c>
      <c r="H274" s="4">
        <v>20977.21</v>
      </c>
      <c r="I274" s="8">
        <v>0.15</v>
      </c>
      <c r="J274" s="4">
        <v>8342.69</v>
      </c>
      <c r="K274" s="4" t="str">
        <f t="shared" si="16"/>
        <v>July</v>
      </c>
      <c r="L274">
        <f t="shared" si="17"/>
        <v>7</v>
      </c>
      <c r="M274" s="9">
        <f t="shared" si="18"/>
        <v>0.28454019283831117</v>
      </c>
      <c r="N274" s="9">
        <f t="shared" si="19"/>
        <v>2.7151718875522384E-4</v>
      </c>
    </row>
    <row r="275" spans="1:14" x14ac:dyDescent="0.35">
      <c r="A275" s="6">
        <v>45259</v>
      </c>
      <c r="B275" t="s">
        <v>9</v>
      </c>
      <c r="C275" t="s">
        <v>20</v>
      </c>
      <c r="D275" t="s">
        <v>25</v>
      </c>
      <c r="E275" t="s">
        <v>32</v>
      </c>
      <c r="F275" s="4">
        <v>4</v>
      </c>
      <c r="G275" s="4">
        <v>110523.8</v>
      </c>
      <c r="H275" s="4">
        <v>63240.82</v>
      </c>
      <c r="I275" s="8">
        <v>0.15</v>
      </c>
      <c r="J275" s="4">
        <v>47282.98</v>
      </c>
      <c r="K275" s="4" t="str">
        <f t="shared" si="16"/>
        <v>November</v>
      </c>
      <c r="L275">
        <f t="shared" si="17"/>
        <v>11</v>
      </c>
      <c r="M275" s="9">
        <f t="shared" si="18"/>
        <v>0.42780812820406106</v>
      </c>
      <c r="N275" s="9">
        <f t="shared" si="19"/>
        <v>1.0235066104094697E-3</v>
      </c>
    </row>
    <row r="276" spans="1:14" x14ac:dyDescent="0.35">
      <c r="A276" s="6">
        <v>45047</v>
      </c>
      <c r="B276" t="s">
        <v>12</v>
      </c>
      <c r="C276" t="s">
        <v>21</v>
      </c>
      <c r="D276" t="s">
        <v>25</v>
      </c>
      <c r="E276" t="s">
        <v>33</v>
      </c>
      <c r="F276" s="4">
        <v>7</v>
      </c>
      <c r="G276" s="4">
        <v>4701.55</v>
      </c>
      <c r="H276" s="4">
        <v>2699.48</v>
      </c>
      <c r="I276" s="8">
        <v>0.05</v>
      </c>
      <c r="J276" s="4">
        <v>2002.07</v>
      </c>
      <c r="K276" s="4" t="str">
        <f t="shared" si="16"/>
        <v>May</v>
      </c>
      <c r="L276">
        <f t="shared" si="17"/>
        <v>5</v>
      </c>
      <c r="M276" s="9">
        <f t="shared" si="18"/>
        <v>0.42583190649892055</v>
      </c>
      <c r="N276" s="9">
        <f t="shared" si="19"/>
        <v>4.3538744633921759E-5</v>
      </c>
    </row>
    <row r="277" spans="1:14" x14ac:dyDescent="0.35">
      <c r="A277" s="6">
        <v>45041</v>
      </c>
      <c r="B277" t="s">
        <v>9</v>
      </c>
      <c r="C277" t="s">
        <v>13</v>
      </c>
      <c r="D277" t="s">
        <v>26</v>
      </c>
      <c r="E277" t="s">
        <v>30</v>
      </c>
      <c r="F277" s="4">
        <v>4</v>
      </c>
      <c r="G277" s="4">
        <v>36012.800000000003</v>
      </c>
      <c r="H277" s="4">
        <v>20885.88</v>
      </c>
      <c r="I277" s="8">
        <v>0.2</v>
      </c>
      <c r="J277" s="4">
        <v>15126.92</v>
      </c>
      <c r="K277" s="4" t="str">
        <f t="shared" si="16"/>
        <v>April</v>
      </c>
      <c r="L277">
        <f t="shared" si="17"/>
        <v>4</v>
      </c>
      <c r="M277" s="9">
        <f t="shared" si="18"/>
        <v>0.42004287364492621</v>
      </c>
      <c r="N277" s="9">
        <f t="shared" si="19"/>
        <v>3.3349684737001576E-4</v>
      </c>
    </row>
    <row r="278" spans="1:14" x14ac:dyDescent="0.35">
      <c r="A278" s="6">
        <v>45010</v>
      </c>
      <c r="B278" t="s">
        <v>11</v>
      </c>
      <c r="C278" t="s">
        <v>18</v>
      </c>
      <c r="D278" t="s">
        <v>27</v>
      </c>
      <c r="E278" t="s">
        <v>31</v>
      </c>
      <c r="F278" s="4">
        <v>4</v>
      </c>
      <c r="G278" s="4">
        <v>77008</v>
      </c>
      <c r="H278" s="4">
        <v>55283.24</v>
      </c>
      <c r="I278" s="8">
        <v>0</v>
      </c>
      <c r="J278" s="4">
        <v>21724.76</v>
      </c>
      <c r="K278" s="4" t="str">
        <f t="shared" si="16"/>
        <v>March</v>
      </c>
      <c r="L278">
        <f t="shared" si="17"/>
        <v>3</v>
      </c>
      <c r="M278" s="9">
        <f t="shared" si="18"/>
        <v>0.28211043008518594</v>
      </c>
      <c r="N278" s="9">
        <f t="shared" si="19"/>
        <v>7.1313325323968618E-4</v>
      </c>
    </row>
    <row r="279" spans="1:14" x14ac:dyDescent="0.35">
      <c r="A279" s="6">
        <v>44964</v>
      </c>
      <c r="B279" t="s">
        <v>10</v>
      </c>
      <c r="C279" t="s">
        <v>19</v>
      </c>
      <c r="D279" t="s">
        <v>28</v>
      </c>
      <c r="E279" t="s">
        <v>44</v>
      </c>
      <c r="F279" s="4">
        <v>7</v>
      </c>
      <c r="G279" s="4">
        <v>37765</v>
      </c>
      <c r="H279" s="4">
        <v>26515.62</v>
      </c>
      <c r="I279" s="8">
        <v>0</v>
      </c>
      <c r="J279" s="4">
        <v>11249.38</v>
      </c>
      <c r="K279" s="4" t="str">
        <f t="shared" si="16"/>
        <v>February</v>
      </c>
      <c r="L279">
        <f t="shared" si="17"/>
        <v>2</v>
      </c>
      <c r="M279" s="9">
        <f t="shared" si="18"/>
        <v>0.29787845889050707</v>
      </c>
      <c r="N279" s="9">
        <f t="shared" si="19"/>
        <v>3.4972311069754767E-4</v>
      </c>
    </row>
    <row r="280" spans="1:14" x14ac:dyDescent="0.35">
      <c r="A280" s="6">
        <v>45287</v>
      </c>
      <c r="B280" t="s">
        <v>11</v>
      </c>
      <c r="C280" t="s">
        <v>18</v>
      </c>
      <c r="D280" t="s">
        <v>27</v>
      </c>
      <c r="E280" t="s">
        <v>41</v>
      </c>
      <c r="F280" s="4">
        <v>4</v>
      </c>
      <c r="G280" s="4">
        <v>23871.599999999999</v>
      </c>
      <c r="H280" s="4">
        <v>15168.46</v>
      </c>
      <c r="I280" s="8">
        <v>0.05</v>
      </c>
      <c r="J280" s="4">
        <v>8703.14</v>
      </c>
      <c r="K280" s="4" t="str">
        <f t="shared" si="16"/>
        <v>December</v>
      </c>
      <c r="L280">
        <f t="shared" si="17"/>
        <v>12</v>
      </c>
      <c r="M280" s="9">
        <f t="shared" si="18"/>
        <v>0.36458134352117161</v>
      </c>
      <c r="N280" s="9">
        <f t="shared" si="19"/>
        <v>2.2106315925665506E-4</v>
      </c>
    </row>
    <row r="281" spans="1:14" x14ac:dyDescent="0.35">
      <c r="A281" s="6">
        <v>45116</v>
      </c>
      <c r="B281" t="s">
        <v>12</v>
      </c>
      <c r="C281" t="s">
        <v>24</v>
      </c>
      <c r="D281" t="s">
        <v>25</v>
      </c>
      <c r="E281" t="s">
        <v>33</v>
      </c>
      <c r="F281" s="4">
        <v>1</v>
      </c>
      <c r="G281" s="4">
        <v>17442</v>
      </c>
      <c r="H281" s="4">
        <v>13191.76</v>
      </c>
      <c r="I281" s="8">
        <v>0.1</v>
      </c>
      <c r="J281" s="4">
        <v>4250.24</v>
      </c>
      <c r="K281" s="4" t="str">
        <f t="shared" si="16"/>
        <v>July</v>
      </c>
      <c r="L281">
        <f t="shared" si="17"/>
        <v>7</v>
      </c>
      <c r="M281" s="9">
        <f t="shared" si="18"/>
        <v>0.24367847723884875</v>
      </c>
      <c r="N281" s="9">
        <f t="shared" si="19"/>
        <v>1.615217925800775E-4</v>
      </c>
    </row>
    <row r="282" spans="1:14" x14ac:dyDescent="0.35">
      <c r="A282" s="6">
        <v>45069</v>
      </c>
      <c r="B282" t="s">
        <v>9</v>
      </c>
      <c r="C282" t="s">
        <v>20</v>
      </c>
      <c r="D282" t="s">
        <v>26</v>
      </c>
      <c r="E282" t="s">
        <v>34</v>
      </c>
      <c r="F282" s="4">
        <v>7</v>
      </c>
      <c r="G282" s="4">
        <v>159623.1</v>
      </c>
      <c r="H282" s="4">
        <v>119169.66</v>
      </c>
      <c r="I282" s="8">
        <v>0.1</v>
      </c>
      <c r="J282" s="4">
        <v>40453.440000000002</v>
      </c>
      <c r="K282" s="4" t="str">
        <f t="shared" si="16"/>
        <v>May</v>
      </c>
      <c r="L282">
        <f t="shared" si="17"/>
        <v>5</v>
      </c>
      <c r="M282" s="9">
        <f t="shared" si="18"/>
        <v>0.25343098837198375</v>
      </c>
      <c r="N282" s="9">
        <f t="shared" si="19"/>
        <v>1.4781911047579961E-3</v>
      </c>
    </row>
    <row r="283" spans="1:14" x14ac:dyDescent="0.35">
      <c r="A283" s="6">
        <v>45008</v>
      </c>
      <c r="B283" t="s">
        <v>10</v>
      </c>
      <c r="C283" t="s">
        <v>14</v>
      </c>
      <c r="D283" t="s">
        <v>26</v>
      </c>
      <c r="E283" t="s">
        <v>34</v>
      </c>
      <c r="F283" s="4">
        <v>4</v>
      </c>
      <c r="G283" s="4">
        <v>129928</v>
      </c>
      <c r="H283" s="4">
        <v>75240.210000000006</v>
      </c>
      <c r="I283" s="8">
        <v>0</v>
      </c>
      <c r="J283" s="4">
        <v>54687.79</v>
      </c>
      <c r="K283" s="4" t="str">
        <f t="shared" si="16"/>
        <v>March</v>
      </c>
      <c r="L283">
        <f t="shared" si="17"/>
        <v>3</v>
      </c>
      <c r="M283" s="9">
        <f t="shared" si="18"/>
        <v>0.42090842620528296</v>
      </c>
      <c r="N283" s="9">
        <f t="shared" si="19"/>
        <v>1.2031993731420885E-3</v>
      </c>
    </row>
    <row r="284" spans="1:14" x14ac:dyDescent="0.35">
      <c r="A284" s="6">
        <v>44940</v>
      </c>
      <c r="B284" t="s">
        <v>12</v>
      </c>
      <c r="C284" t="s">
        <v>21</v>
      </c>
      <c r="D284" t="s">
        <v>28</v>
      </c>
      <c r="E284" t="s">
        <v>44</v>
      </c>
      <c r="F284" s="4">
        <v>2</v>
      </c>
      <c r="G284" s="4">
        <v>14632.2</v>
      </c>
      <c r="H284" s="4">
        <v>10937.68</v>
      </c>
      <c r="I284" s="8">
        <v>0.1</v>
      </c>
      <c r="J284" s="4">
        <v>3694.52</v>
      </c>
      <c r="K284" s="4" t="str">
        <f t="shared" si="16"/>
        <v>January</v>
      </c>
      <c r="L284">
        <f t="shared" si="17"/>
        <v>1</v>
      </c>
      <c r="M284" s="9">
        <f t="shared" si="18"/>
        <v>0.25249244816227223</v>
      </c>
      <c r="N284" s="9">
        <f t="shared" si="19"/>
        <v>1.3550161526144994E-4</v>
      </c>
    </row>
    <row r="285" spans="1:14" x14ac:dyDescent="0.35">
      <c r="A285" s="6">
        <v>45202</v>
      </c>
      <c r="B285" t="s">
        <v>12</v>
      </c>
      <c r="C285" t="s">
        <v>21</v>
      </c>
      <c r="D285" t="s">
        <v>27</v>
      </c>
      <c r="E285" t="s">
        <v>40</v>
      </c>
      <c r="F285" s="4">
        <v>2</v>
      </c>
      <c r="G285" s="4">
        <v>37996.199999999997</v>
      </c>
      <c r="H285" s="4">
        <v>24185.53</v>
      </c>
      <c r="I285" s="8">
        <v>0.1</v>
      </c>
      <c r="J285" s="4">
        <v>13810.67</v>
      </c>
      <c r="K285" s="4" t="str">
        <f t="shared" si="16"/>
        <v>October</v>
      </c>
      <c r="L285">
        <f t="shared" si="17"/>
        <v>10</v>
      </c>
      <c r="M285" s="9">
        <f t="shared" si="18"/>
        <v>0.36347503171369772</v>
      </c>
      <c r="N285" s="9">
        <f t="shared" si="19"/>
        <v>3.518641403067962E-4</v>
      </c>
    </row>
    <row r="286" spans="1:14" x14ac:dyDescent="0.35">
      <c r="A286" s="6">
        <v>45247</v>
      </c>
      <c r="B286" t="s">
        <v>10</v>
      </c>
      <c r="C286" t="s">
        <v>19</v>
      </c>
      <c r="D286" t="s">
        <v>27</v>
      </c>
      <c r="E286" t="s">
        <v>41</v>
      </c>
      <c r="F286" s="4">
        <v>1</v>
      </c>
      <c r="G286" s="4">
        <v>25911.4</v>
      </c>
      <c r="H286" s="4">
        <v>18179.25</v>
      </c>
      <c r="I286" s="8">
        <v>0.15</v>
      </c>
      <c r="J286" s="4">
        <v>7732.15</v>
      </c>
      <c r="K286" s="4" t="str">
        <f t="shared" si="16"/>
        <v>November</v>
      </c>
      <c r="L286">
        <f t="shared" si="17"/>
        <v>11</v>
      </c>
      <c r="M286" s="9">
        <f t="shared" si="18"/>
        <v>0.29840726475605328</v>
      </c>
      <c r="N286" s="9">
        <f t="shared" si="19"/>
        <v>2.3995274488358101E-4</v>
      </c>
    </row>
    <row r="287" spans="1:14" x14ac:dyDescent="0.35">
      <c r="A287" s="6">
        <v>44951</v>
      </c>
      <c r="B287" t="s">
        <v>10</v>
      </c>
      <c r="C287" t="s">
        <v>19</v>
      </c>
      <c r="D287" t="s">
        <v>28</v>
      </c>
      <c r="E287" t="s">
        <v>39</v>
      </c>
      <c r="F287" s="4">
        <v>4</v>
      </c>
      <c r="G287" s="4">
        <v>41896.800000000003</v>
      </c>
      <c r="H287" s="4">
        <v>27218.92</v>
      </c>
      <c r="I287" s="8">
        <v>0.1</v>
      </c>
      <c r="J287" s="4">
        <v>14677.88</v>
      </c>
      <c r="K287" s="4" t="str">
        <f t="shared" si="16"/>
        <v>January</v>
      </c>
      <c r="L287">
        <f t="shared" si="17"/>
        <v>1</v>
      </c>
      <c r="M287" s="9">
        <f t="shared" si="18"/>
        <v>0.35033415439842658</v>
      </c>
      <c r="N287" s="9">
        <f t="shared" si="19"/>
        <v>3.8798568050504476E-4</v>
      </c>
    </row>
    <row r="288" spans="1:14" x14ac:dyDescent="0.35">
      <c r="A288" s="6">
        <v>44994</v>
      </c>
      <c r="B288" t="s">
        <v>12</v>
      </c>
      <c r="C288" t="s">
        <v>23</v>
      </c>
      <c r="D288" t="s">
        <v>28</v>
      </c>
      <c r="E288" t="s">
        <v>44</v>
      </c>
      <c r="F288" s="4">
        <v>5</v>
      </c>
      <c r="G288" s="4">
        <v>171721.25</v>
      </c>
      <c r="H288" s="4">
        <v>100249.42</v>
      </c>
      <c r="I288" s="8">
        <v>0.15</v>
      </c>
      <c r="J288" s="4">
        <v>71471.83</v>
      </c>
      <c r="K288" s="4" t="str">
        <f t="shared" si="16"/>
        <v>March</v>
      </c>
      <c r="L288">
        <f t="shared" si="17"/>
        <v>3</v>
      </c>
      <c r="M288" s="9">
        <f t="shared" si="18"/>
        <v>0.41620841916769186</v>
      </c>
      <c r="N288" s="9">
        <f t="shared" si="19"/>
        <v>1.5902261279722297E-3</v>
      </c>
    </row>
    <row r="289" spans="1:14" x14ac:dyDescent="0.35">
      <c r="A289" s="6">
        <v>45056</v>
      </c>
      <c r="B289" t="s">
        <v>12</v>
      </c>
      <c r="C289" t="s">
        <v>23</v>
      </c>
      <c r="D289" t="s">
        <v>25</v>
      </c>
      <c r="E289" t="s">
        <v>32</v>
      </c>
      <c r="F289" s="4">
        <v>4</v>
      </c>
      <c r="G289" s="4">
        <v>114438.39999999999</v>
      </c>
      <c r="H289" s="4">
        <v>63447.16</v>
      </c>
      <c r="I289" s="8">
        <v>0.2</v>
      </c>
      <c r="J289" s="4">
        <v>50991.24</v>
      </c>
      <c r="K289" s="4" t="str">
        <f t="shared" si="16"/>
        <v>May</v>
      </c>
      <c r="L289">
        <f t="shared" si="17"/>
        <v>5</v>
      </c>
      <c r="M289" s="9">
        <f t="shared" si="18"/>
        <v>0.44557805771489289</v>
      </c>
      <c r="N289" s="9">
        <f t="shared" si="19"/>
        <v>1.0597577977293853E-3</v>
      </c>
    </row>
    <row r="290" spans="1:14" x14ac:dyDescent="0.35">
      <c r="A290" s="6">
        <v>45271</v>
      </c>
      <c r="B290" t="s">
        <v>11</v>
      </c>
      <c r="C290" t="s">
        <v>17</v>
      </c>
      <c r="D290" t="s">
        <v>25</v>
      </c>
      <c r="E290" t="s">
        <v>29</v>
      </c>
      <c r="F290" s="4">
        <v>3</v>
      </c>
      <c r="G290" s="4">
        <v>38685.599999999999</v>
      </c>
      <c r="H290" s="4">
        <v>23131.88</v>
      </c>
      <c r="I290" s="8">
        <v>0.1</v>
      </c>
      <c r="J290" s="4">
        <v>15553.72</v>
      </c>
      <c r="K290" s="4" t="str">
        <f t="shared" si="16"/>
        <v>December</v>
      </c>
      <c r="L290">
        <f t="shared" si="17"/>
        <v>12</v>
      </c>
      <c r="M290" s="9">
        <f t="shared" si="18"/>
        <v>0.40205451123932417</v>
      </c>
      <c r="N290" s="9">
        <f t="shared" si="19"/>
        <v>3.5824833499804181E-4</v>
      </c>
    </row>
    <row r="291" spans="1:14" x14ac:dyDescent="0.35">
      <c r="A291" s="6">
        <v>45025</v>
      </c>
      <c r="B291" t="s">
        <v>10</v>
      </c>
      <c r="C291" t="s">
        <v>19</v>
      </c>
      <c r="D291" t="s">
        <v>25</v>
      </c>
      <c r="E291" t="s">
        <v>32</v>
      </c>
      <c r="F291" s="4">
        <v>5</v>
      </c>
      <c r="G291" s="4">
        <v>135130</v>
      </c>
      <c r="H291" s="4">
        <v>88859.37</v>
      </c>
      <c r="I291" s="8">
        <v>0</v>
      </c>
      <c r="J291" s="4">
        <v>46270.63</v>
      </c>
      <c r="K291" s="4" t="str">
        <f t="shared" si="16"/>
        <v>April</v>
      </c>
      <c r="L291">
        <f t="shared" si="17"/>
        <v>4</v>
      </c>
      <c r="M291" s="9">
        <f t="shared" si="18"/>
        <v>0.34241567379560423</v>
      </c>
      <c r="N291" s="9">
        <f t="shared" si="19"/>
        <v>1.2513725393501819E-3</v>
      </c>
    </row>
    <row r="292" spans="1:14" x14ac:dyDescent="0.35">
      <c r="A292" s="6">
        <v>45186</v>
      </c>
      <c r="B292" t="s">
        <v>12</v>
      </c>
      <c r="C292" t="s">
        <v>23</v>
      </c>
      <c r="D292" t="s">
        <v>26</v>
      </c>
      <c r="E292" t="s">
        <v>34</v>
      </c>
      <c r="F292" s="4">
        <v>6</v>
      </c>
      <c r="G292" s="4">
        <v>48827.4</v>
      </c>
      <c r="H292" s="4">
        <v>34399.53</v>
      </c>
      <c r="I292" s="8">
        <v>0.15</v>
      </c>
      <c r="J292" s="4">
        <v>14427.87</v>
      </c>
      <c r="K292" s="4" t="str">
        <f t="shared" si="16"/>
        <v>September</v>
      </c>
      <c r="L292">
        <f t="shared" si="17"/>
        <v>9</v>
      </c>
      <c r="M292" s="9">
        <f t="shared" si="18"/>
        <v>0.29548716499342581</v>
      </c>
      <c r="N292" s="9">
        <f t="shared" si="19"/>
        <v>4.5216656203557367E-4</v>
      </c>
    </row>
    <row r="293" spans="1:14" x14ac:dyDescent="0.35">
      <c r="A293" s="6">
        <v>45050</v>
      </c>
      <c r="B293" t="s">
        <v>9</v>
      </c>
      <c r="C293" t="s">
        <v>13</v>
      </c>
      <c r="D293" t="s">
        <v>27</v>
      </c>
      <c r="E293" t="s">
        <v>40</v>
      </c>
      <c r="F293" s="4">
        <v>4</v>
      </c>
      <c r="G293" s="4">
        <v>135292.79999999999</v>
      </c>
      <c r="H293" s="4">
        <v>95513.19</v>
      </c>
      <c r="I293" s="8">
        <v>0.2</v>
      </c>
      <c r="J293" s="4">
        <v>39779.61</v>
      </c>
      <c r="K293" s="4" t="str">
        <f t="shared" si="16"/>
        <v>May</v>
      </c>
      <c r="L293">
        <f t="shared" si="17"/>
        <v>5</v>
      </c>
      <c r="M293" s="9">
        <f t="shared" si="18"/>
        <v>0.29402606790605268</v>
      </c>
      <c r="N293" s="9">
        <f t="shared" si="19"/>
        <v>1.2528801501649985E-3</v>
      </c>
    </row>
    <row r="294" spans="1:14" x14ac:dyDescent="0.35">
      <c r="A294" s="6">
        <v>45081</v>
      </c>
      <c r="B294" t="s">
        <v>10</v>
      </c>
      <c r="C294" t="s">
        <v>22</v>
      </c>
      <c r="D294" t="s">
        <v>28</v>
      </c>
      <c r="E294" t="s">
        <v>42</v>
      </c>
      <c r="F294" s="4">
        <v>5</v>
      </c>
      <c r="G294" s="4">
        <v>131484</v>
      </c>
      <c r="H294" s="4">
        <v>83960.3</v>
      </c>
      <c r="I294" s="8">
        <v>0.2</v>
      </c>
      <c r="J294" s="4">
        <v>47523.7</v>
      </c>
      <c r="K294" s="4" t="str">
        <f t="shared" si="16"/>
        <v>June</v>
      </c>
      <c r="L294">
        <f t="shared" si="17"/>
        <v>6</v>
      </c>
      <c r="M294" s="9">
        <f t="shared" si="18"/>
        <v>0.36144093577925829</v>
      </c>
      <c r="N294" s="9">
        <f t="shared" si="19"/>
        <v>1.2176087246645402E-3</v>
      </c>
    </row>
    <row r="295" spans="1:14" x14ac:dyDescent="0.35">
      <c r="A295" s="6">
        <v>44988</v>
      </c>
      <c r="B295" t="s">
        <v>11</v>
      </c>
      <c r="C295" t="s">
        <v>18</v>
      </c>
      <c r="D295" t="s">
        <v>28</v>
      </c>
      <c r="E295" t="s">
        <v>42</v>
      </c>
      <c r="F295" s="4">
        <v>5</v>
      </c>
      <c r="G295" s="4">
        <v>157632</v>
      </c>
      <c r="H295" s="4">
        <v>87132.32</v>
      </c>
      <c r="I295" s="8">
        <v>0.2</v>
      </c>
      <c r="J295" s="4">
        <v>70499.679999999993</v>
      </c>
      <c r="K295" s="4" t="str">
        <f t="shared" si="16"/>
        <v>March</v>
      </c>
      <c r="L295">
        <f t="shared" si="17"/>
        <v>3</v>
      </c>
      <c r="M295" s="9">
        <f t="shared" si="18"/>
        <v>0.44724218432805518</v>
      </c>
      <c r="N295" s="9">
        <f t="shared" si="19"/>
        <v>1.4597525059042984E-3</v>
      </c>
    </row>
    <row r="296" spans="1:14" x14ac:dyDescent="0.35">
      <c r="A296" s="6">
        <v>44991</v>
      </c>
      <c r="B296" t="s">
        <v>9</v>
      </c>
      <c r="C296" t="s">
        <v>13</v>
      </c>
      <c r="D296" t="s">
        <v>28</v>
      </c>
      <c r="E296" t="s">
        <v>36</v>
      </c>
      <c r="F296" s="4">
        <v>7</v>
      </c>
      <c r="G296" s="4">
        <v>293717.2</v>
      </c>
      <c r="H296" s="4">
        <v>211547.96</v>
      </c>
      <c r="I296" s="8">
        <v>0.05</v>
      </c>
      <c r="J296" s="4">
        <v>82169.240000000005</v>
      </c>
      <c r="K296" s="4" t="str">
        <f t="shared" si="16"/>
        <v>March</v>
      </c>
      <c r="L296">
        <f t="shared" si="17"/>
        <v>3</v>
      </c>
      <c r="M296" s="9">
        <f t="shared" si="18"/>
        <v>0.2797563098109338</v>
      </c>
      <c r="N296" s="9">
        <f t="shared" si="19"/>
        <v>2.7199706831556665E-3</v>
      </c>
    </row>
    <row r="297" spans="1:14" x14ac:dyDescent="0.35">
      <c r="A297" s="6">
        <v>45086</v>
      </c>
      <c r="B297" t="s">
        <v>12</v>
      </c>
      <c r="C297" t="s">
        <v>23</v>
      </c>
      <c r="D297" t="s">
        <v>28</v>
      </c>
      <c r="E297" t="s">
        <v>36</v>
      </c>
      <c r="F297" s="4">
        <v>5</v>
      </c>
      <c r="G297" s="4">
        <v>78622</v>
      </c>
      <c r="H297" s="4">
        <v>44512.17</v>
      </c>
      <c r="I297" s="8">
        <v>0.05</v>
      </c>
      <c r="J297" s="4">
        <v>34109.83</v>
      </c>
      <c r="K297" s="4" t="str">
        <f t="shared" si="16"/>
        <v>June</v>
      </c>
      <c r="L297">
        <f t="shared" si="17"/>
        <v>6</v>
      </c>
      <c r="M297" s="9">
        <f t="shared" si="18"/>
        <v>0.4338458701126911</v>
      </c>
      <c r="N297" s="9">
        <f t="shared" si="19"/>
        <v>7.2807971426618804E-4</v>
      </c>
    </row>
    <row r="298" spans="1:14" x14ac:dyDescent="0.35">
      <c r="A298" s="6">
        <v>45109</v>
      </c>
      <c r="B298" t="s">
        <v>11</v>
      </c>
      <c r="C298" t="s">
        <v>16</v>
      </c>
      <c r="D298" t="s">
        <v>25</v>
      </c>
      <c r="E298" t="s">
        <v>33</v>
      </c>
      <c r="F298" s="4">
        <v>4</v>
      </c>
      <c r="G298" s="4">
        <v>35628.800000000003</v>
      </c>
      <c r="H298" s="4">
        <v>27116.7</v>
      </c>
      <c r="I298" s="8">
        <v>0.2</v>
      </c>
      <c r="J298" s="4">
        <v>8512.1</v>
      </c>
      <c r="K298" s="4" t="str">
        <f t="shared" si="16"/>
        <v>July</v>
      </c>
      <c r="L298">
        <f t="shared" si="17"/>
        <v>7</v>
      </c>
      <c r="M298" s="9">
        <f t="shared" si="18"/>
        <v>0.23891065654751212</v>
      </c>
      <c r="N298" s="9">
        <f t="shared" si="19"/>
        <v>3.2994081203285548E-4</v>
      </c>
    </row>
    <row r="299" spans="1:14" x14ac:dyDescent="0.35">
      <c r="A299" s="6">
        <v>45153</v>
      </c>
      <c r="B299" t="s">
        <v>12</v>
      </c>
      <c r="C299" t="s">
        <v>24</v>
      </c>
      <c r="D299" t="s">
        <v>28</v>
      </c>
      <c r="E299" t="s">
        <v>44</v>
      </c>
      <c r="F299" s="4">
        <v>2</v>
      </c>
      <c r="G299" s="4">
        <v>64577.9</v>
      </c>
      <c r="H299" s="4">
        <v>46039.37</v>
      </c>
      <c r="I299" s="8">
        <v>0.15</v>
      </c>
      <c r="J299" s="4">
        <v>18538.53</v>
      </c>
      <c r="K299" s="4" t="str">
        <f t="shared" si="16"/>
        <v>August</v>
      </c>
      <c r="L299">
        <f t="shared" si="17"/>
        <v>8</v>
      </c>
      <c r="M299" s="9">
        <f t="shared" si="18"/>
        <v>0.28707235757124339</v>
      </c>
      <c r="N299" s="9">
        <f t="shared" si="19"/>
        <v>5.9802420416563389E-4</v>
      </c>
    </row>
    <row r="300" spans="1:14" x14ac:dyDescent="0.35">
      <c r="A300" s="6">
        <v>44943</v>
      </c>
      <c r="B300" t="s">
        <v>12</v>
      </c>
      <c r="C300" t="s">
        <v>23</v>
      </c>
      <c r="D300" t="s">
        <v>26</v>
      </c>
      <c r="E300" t="s">
        <v>43</v>
      </c>
      <c r="F300" s="4">
        <v>6</v>
      </c>
      <c r="G300" s="4">
        <v>263424</v>
      </c>
      <c r="H300" s="4">
        <v>207797.72</v>
      </c>
      <c r="I300" s="8">
        <v>0</v>
      </c>
      <c r="J300" s="4">
        <v>55626.28</v>
      </c>
      <c r="K300" s="4" t="str">
        <f t="shared" si="16"/>
        <v>January</v>
      </c>
      <c r="L300">
        <f t="shared" si="17"/>
        <v>1</v>
      </c>
      <c r="M300" s="9">
        <f t="shared" si="18"/>
        <v>0.21116633260447035</v>
      </c>
      <c r="N300" s="9">
        <f t="shared" si="19"/>
        <v>2.439440241291958E-3</v>
      </c>
    </row>
    <row r="301" spans="1:14" x14ac:dyDescent="0.35">
      <c r="A301" s="6">
        <v>45168</v>
      </c>
      <c r="B301" t="s">
        <v>11</v>
      </c>
      <c r="C301" t="s">
        <v>16</v>
      </c>
      <c r="D301" t="s">
        <v>27</v>
      </c>
      <c r="E301" t="s">
        <v>38</v>
      </c>
      <c r="F301" s="4">
        <v>2</v>
      </c>
      <c r="G301" s="4">
        <v>6609.6</v>
      </c>
      <c r="H301" s="4">
        <v>4096.91</v>
      </c>
      <c r="I301" s="8">
        <v>0.2</v>
      </c>
      <c r="J301" s="4">
        <v>2512.69</v>
      </c>
      <c r="K301" s="4" t="str">
        <f t="shared" si="16"/>
        <v>August</v>
      </c>
      <c r="L301">
        <f t="shared" si="17"/>
        <v>8</v>
      </c>
      <c r="M301" s="9">
        <f t="shared" si="18"/>
        <v>0.38015764947954489</v>
      </c>
      <c r="N301" s="9">
        <f t="shared" si="19"/>
        <v>6.1208258240871477E-5</v>
      </c>
    </row>
    <row r="302" spans="1:14" x14ac:dyDescent="0.35">
      <c r="A302" s="6">
        <v>45005</v>
      </c>
      <c r="B302" t="s">
        <v>10</v>
      </c>
      <c r="C302" t="s">
        <v>14</v>
      </c>
      <c r="D302" t="s">
        <v>26</v>
      </c>
      <c r="E302" t="s">
        <v>35</v>
      </c>
      <c r="F302" s="4">
        <v>7</v>
      </c>
      <c r="G302" s="4">
        <v>175927.5</v>
      </c>
      <c r="H302" s="4">
        <v>116557.44</v>
      </c>
      <c r="I302" s="8">
        <v>0.1</v>
      </c>
      <c r="J302" s="4">
        <v>59370.06</v>
      </c>
      <c r="K302" s="4" t="str">
        <f t="shared" si="16"/>
        <v>March</v>
      </c>
      <c r="L302">
        <f t="shared" si="17"/>
        <v>3</v>
      </c>
      <c r="M302" s="9">
        <f t="shared" si="18"/>
        <v>0.33746890054141621</v>
      </c>
      <c r="N302" s="9">
        <f t="shared" si="19"/>
        <v>1.6291781426517361E-3</v>
      </c>
    </row>
    <row r="303" spans="1:14" x14ac:dyDescent="0.35">
      <c r="A303" s="6">
        <v>45027</v>
      </c>
      <c r="B303" t="s">
        <v>12</v>
      </c>
      <c r="C303" t="s">
        <v>21</v>
      </c>
      <c r="D303" t="s">
        <v>26</v>
      </c>
      <c r="E303" t="s">
        <v>43</v>
      </c>
      <c r="F303" s="4">
        <v>3</v>
      </c>
      <c r="G303" s="4">
        <v>122869.2</v>
      </c>
      <c r="H303" s="4">
        <v>83312.13</v>
      </c>
      <c r="I303" s="8">
        <v>0.15</v>
      </c>
      <c r="J303" s="4">
        <v>39557.07</v>
      </c>
      <c r="K303" s="4" t="str">
        <f t="shared" si="16"/>
        <v>April</v>
      </c>
      <c r="L303">
        <f t="shared" si="17"/>
        <v>4</v>
      </c>
      <c r="M303" s="9">
        <f t="shared" si="18"/>
        <v>0.32194455567383851</v>
      </c>
      <c r="N303" s="9">
        <f t="shared" si="19"/>
        <v>1.1378312943974348E-3</v>
      </c>
    </row>
    <row r="304" spans="1:14" x14ac:dyDescent="0.35">
      <c r="A304" s="6">
        <v>45078</v>
      </c>
      <c r="B304" t="s">
        <v>11</v>
      </c>
      <c r="C304" t="s">
        <v>16</v>
      </c>
      <c r="D304" t="s">
        <v>26</v>
      </c>
      <c r="E304" t="s">
        <v>43</v>
      </c>
      <c r="F304" s="4">
        <v>7</v>
      </c>
      <c r="G304" s="4">
        <v>205654.39999999999</v>
      </c>
      <c r="H304" s="4">
        <v>154350.34</v>
      </c>
      <c r="I304" s="8">
        <v>0.2</v>
      </c>
      <c r="J304" s="4">
        <v>51304.06</v>
      </c>
      <c r="K304" s="4" t="str">
        <f t="shared" si="16"/>
        <v>June</v>
      </c>
      <c r="L304">
        <f t="shared" si="17"/>
        <v>6</v>
      </c>
      <c r="M304" s="9">
        <f t="shared" si="18"/>
        <v>0.24946735883112639</v>
      </c>
      <c r="N304" s="9">
        <f t="shared" si="19"/>
        <v>1.9044643584440022E-3</v>
      </c>
    </row>
    <row r="305" spans="1:14" x14ac:dyDescent="0.35">
      <c r="A305" s="6">
        <v>45137</v>
      </c>
      <c r="B305" t="s">
        <v>12</v>
      </c>
      <c r="C305" t="s">
        <v>23</v>
      </c>
      <c r="D305" t="s">
        <v>26</v>
      </c>
      <c r="E305" t="s">
        <v>43</v>
      </c>
      <c r="F305" s="4">
        <v>2</v>
      </c>
      <c r="G305" s="4">
        <v>18091.400000000001</v>
      </c>
      <c r="H305" s="4">
        <v>11531.93</v>
      </c>
      <c r="I305" s="8">
        <v>0.15</v>
      </c>
      <c r="J305" s="4">
        <v>6559.47</v>
      </c>
      <c r="K305" s="4" t="str">
        <f t="shared" si="16"/>
        <v>July</v>
      </c>
      <c r="L305">
        <f t="shared" si="17"/>
        <v>7</v>
      </c>
      <c r="M305" s="9">
        <f t="shared" si="18"/>
        <v>0.36257393015465911</v>
      </c>
      <c r="N305" s="9">
        <f t="shared" si="19"/>
        <v>1.6753556692370223E-4</v>
      </c>
    </row>
    <row r="306" spans="1:14" x14ac:dyDescent="0.35">
      <c r="A306" s="6">
        <v>45278</v>
      </c>
      <c r="B306" t="s">
        <v>9</v>
      </c>
      <c r="C306" t="s">
        <v>15</v>
      </c>
      <c r="D306" t="s">
        <v>26</v>
      </c>
      <c r="E306" t="s">
        <v>35</v>
      </c>
      <c r="F306" s="4">
        <v>3</v>
      </c>
      <c r="G306" s="4">
        <v>66156</v>
      </c>
      <c r="H306" s="4">
        <v>45475.9</v>
      </c>
      <c r="I306" s="8">
        <v>0.2</v>
      </c>
      <c r="J306" s="4">
        <v>20680.099999999999</v>
      </c>
      <c r="K306" s="4" t="str">
        <f t="shared" si="16"/>
        <v>December</v>
      </c>
      <c r="L306">
        <f t="shared" si="17"/>
        <v>12</v>
      </c>
      <c r="M306" s="9">
        <f t="shared" si="18"/>
        <v>0.31259598524699195</v>
      </c>
      <c r="N306" s="9">
        <f t="shared" si="19"/>
        <v>6.1263821293014594E-4</v>
      </c>
    </row>
    <row r="307" spans="1:14" x14ac:dyDescent="0.35">
      <c r="A307" s="6">
        <v>44975</v>
      </c>
      <c r="B307" t="s">
        <v>11</v>
      </c>
      <c r="C307" t="s">
        <v>18</v>
      </c>
      <c r="D307" t="s">
        <v>28</v>
      </c>
      <c r="E307" t="s">
        <v>42</v>
      </c>
      <c r="F307" s="4">
        <v>4</v>
      </c>
      <c r="G307" s="4">
        <v>97552</v>
      </c>
      <c r="H307" s="4">
        <v>77456.06</v>
      </c>
      <c r="I307" s="8">
        <v>0</v>
      </c>
      <c r="J307" s="4">
        <v>20095.939999999999</v>
      </c>
      <c r="K307" s="4" t="str">
        <f t="shared" si="16"/>
        <v>February</v>
      </c>
      <c r="L307">
        <f t="shared" si="17"/>
        <v>2</v>
      </c>
      <c r="M307" s="9">
        <f t="shared" si="18"/>
        <v>0.20600233721502376</v>
      </c>
      <c r="N307" s="9">
        <f t="shared" si="19"/>
        <v>9.033811437777617E-4</v>
      </c>
    </row>
    <row r="308" spans="1:14" x14ac:dyDescent="0.35">
      <c r="A308" s="6">
        <v>45181</v>
      </c>
      <c r="B308" t="s">
        <v>11</v>
      </c>
      <c r="C308" t="s">
        <v>18</v>
      </c>
      <c r="D308" t="s">
        <v>26</v>
      </c>
      <c r="E308" t="s">
        <v>34</v>
      </c>
      <c r="F308" s="4">
        <v>1</v>
      </c>
      <c r="G308" s="4">
        <v>12353.8</v>
      </c>
      <c r="H308" s="4">
        <v>8271.66</v>
      </c>
      <c r="I308" s="8">
        <v>0.05</v>
      </c>
      <c r="J308" s="4">
        <v>4082.14</v>
      </c>
      <c r="K308" s="4" t="str">
        <f t="shared" si="16"/>
        <v>September</v>
      </c>
      <c r="L308">
        <f t="shared" si="17"/>
        <v>9</v>
      </c>
      <c r="M308" s="9">
        <f t="shared" si="18"/>
        <v>0.33043597921287376</v>
      </c>
      <c r="N308" s="9">
        <f t="shared" si="19"/>
        <v>1.1440247226096556E-4</v>
      </c>
    </row>
    <row r="309" spans="1:14" x14ac:dyDescent="0.35">
      <c r="A309" s="6">
        <v>45107</v>
      </c>
      <c r="B309" t="s">
        <v>10</v>
      </c>
      <c r="C309" t="s">
        <v>19</v>
      </c>
      <c r="D309" t="s">
        <v>27</v>
      </c>
      <c r="E309" t="s">
        <v>31</v>
      </c>
      <c r="F309" s="4">
        <v>4</v>
      </c>
      <c r="G309" s="4">
        <v>24616.400000000001</v>
      </c>
      <c r="H309" s="4">
        <v>17243.060000000001</v>
      </c>
      <c r="I309" s="8">
        <v>0.05</v>
      </c>
      <c r="J309" s="4">
        <v>7373.34</v>
      </c>
      <c r="K309" s="4" t="str">
        <f t="shared" si="16"/>
        <v>June</v>
      </c>
      <c r="L309">
        <f t="shared" si="17"/>
        <v>6</v>
      </c>
      <c r="M309" s="9">
        <f t="shared" si="18"/>
        <v>0.29952958190474643</v>
      </c>
      <c r="N309" s="9">
        <f t="shared" si="19"/>
        <v>2.2796038612935557E-4</v>
      </c>
    </row>
    <row r="310" spans="1:14" x14ac:dyDescent="0.35">
      <c r="A310" s="6">
        <v>45199</v>
      </c>
      <c r="B310" t="s">
        <v>11</v>
      </c>
      <c r="C310" t="s">
        <v>17</v>
      </c>
      <c r="D310" t="s">
        <v>26</v>
      </c>
      <c r="E310" t="s">
        <v>30</v>
      </c>
      <c r="F310" s="4">
        <v>4</v>
      </c>
      <c r="G310" s="4">
        <v>109515.6</v>
      </c>
      <c r="H310" s="4">
        <v>61431.01</v>
      </c>
      <c r="I310" s="8">
        <v>0.1</v>
      </c>
      <c r="J310" s="4">
        <v>48084.59</v>
      </c>
      <c r="K310" s="4" t="str">
        <f t="shared" si="16"/>
        <v>September</v>
      </c>
      <c r="L310">
        <f t="shared" si="17"/>
        <v>9</v>
      </c>
      <c r="M310" s="9">
        <f t="shared" si="18"/>
        <v>0.4390661239129402</v>
      </c>
      <c r="N310" s="9">
        <f t="shared" si="19"/>
        <v>1.0141701655476858E-3</v>
      </c>
    </row>
    <row r="311" spans="1:14" x14ac:dyDescent="0.35">
      <c r="A311" s="6">
        <v>45040</v>
      </c>
      <c r="B311" t="s">
        <v>11</v>
      </c>
      <c r="C311" t="s">
        <v>18</v>
      </c>
      <c r="D311" t="s">
        <v>25</v>
      </c>
      <c r="E311" t="s">
        <v>33</v>
      </c>
      <c r="F311" s="4">
        <v>1</v>
      </c>
      <c r="G311" s="4">
        <v>4574.7</v>
      </c>
      <c r="H311" s="4">
        <v>3145.21</v>
      </c>
      <c r="I311" s="8">
        <v>0.1</v>
      </c>
      <c r="J311" s="4">
        <v>1429.49</v>
      </c>
      <c r="K311" s="4" t="str">
        <f t="shared" si="16"/>
        <v>April</v>
      </c>
      <c r="L311">
        <f t="shared" si="17"/>
        <v>4</v>
      </c>
      <c r="M311" s="9">
        <f t="shared" si="18"/>
        <v>0.31247732091721864</v>
      </c>
      <c r="N311" s="9">
        <f t="shared" si="19"/>
        <v>4.2364049106529095E-5</v>
      </c>
    </row>
    <row r="312" spans="1:14" x14ac:dyDescent="0.35">
      <c r="A312" s="6">
        <v>45048</v>
      </c>
      <c r="B312" t="s">
        <v>10</v>
      </c>
      <c r="C312" t="s">
        <v>19</v>
      </c>
      <c r="D312" t="s">
        <v>26</v>
      </c>
      <c r="E312" t="s">
        <v>43</v>
      </c>
      <c r="F312" s="4">
        <v>4</v>
      </c>
      <c r="G312" s="4">
        <v>102366</v>
      </c>
      <c r="H312" s="4">
        <v>78999.039999999994</v>
      </c>
      <c r="I312" s="8">
        <v>0.1</v>
      </c>
      <c r="J312" s="4">
        <v>23366.959999999999</v>
      </c>
      <c r="K312" s="4" t="str">
        <f t="shared" si="16"/>
        <v>May</v>
      </c>
      <c r="L312">
        <f t="shared" si="17"/>
        <v>5</v>
      </c>
      <c r="M312" s="9">
        <f t="shared" si="18"/>
        <v>0.22826876111208799</v>
      </c>
      <c r="N312" s="9">
        <f t="shared" si="19"/>
        <v>9.4796123261393255E-4</v>
      </c>
    </row>
    <row r="313" spans="1:14" x14ac:dyDescent="0.35">
      <c r="A313" s="6">
        <v>45075</v>
      </c>
      <c r="B313" t="s">
        <v>11</v>
      </c>
      <c r="C313" t="s">
        <v>18</v>
      </c>
      <c r="D313" t="s">
        <v>25</v>
      </c>
      <c r="E313" t="s">
        <v>29</v>
      </c>
      <c r="F313" s="4">
        <v>1</v>
      </c>
      <c r="G313" s="4">
        <v>38143</v>
      </c>
      <c r="H313" s="4">
        <v>26166.26</v>
      </c>
      <c r="I313" s="8">
        <v>0</v>
      </c>
      <c r="J313" s="4">
        <v>11976.74</v>
      </c>
      <c r="K313" s="4" t="str">
        <f t="shared" si="16"/>
        <v>May</v>
      </c>
      <c r="L313">
        <f t="shared" si="17"/>
        <v>5</v>
      </c>
      <c r="M313" s="9">
        <f t="shared" si="18"/>
        <v>0.31399575282489578</v>
      </c>
      <c r="N313" s="9">
        <f t="shared" si="19"/>
        <v>3.5322358298256484E-4</v>
      </c>
    </row>
    <row r="314" spans="1:14" x14ac:dyDescent="0.35">
      <c r="A314" s="6">
        <v>45182</v>
      </c>
      <c r="B314" t="s">
        <v>12</v>
      </c>
      <c r="C314" t="s">
        <v>24</v>
      </c>
      <c r="D314" t="s">
        <v>27</v>
      </c>
      <c r="E314" t="s">
        <v>41</v>
      </c>
      <c r="F314" s="4">
        <v>6</v>
      </c>
      <c r="G314" s="4">
        <v>124496.1</v>
      </c>
      <c r="H314" s="4">
        <v>70149.14</v>
      </c>
      <c r="I314" s="8">
        <v>0.15</v>
      </c>
      <c r="J314" s="4">
        <v>54346.96</v>
      </c>
      <c r="K314" s="4" t="str">
        <f t="shared" si="16"/>
        <v>September</v>
      </c>
      <c r="L314">
        <f t="shared" si="17"/>
        <v>9</v>
      </c>
      <c r="M314" s="9">
        <f t="shared" si="18"/>
        <v>0.43653544167247005</v>
      </c>
      <c r="N314" s="9">
        <f t="shared" si="19"/>
        <v>1.1528972159860443E-3</v>
      </c>
    </row>
    <row r="315" spans="1:14" x14ac:dyDescent="0.35">
      <c r="A315" s="6">
        <v>45184</v>
      </c>
      <c r="B315" t="s">
        <v>10</v>
      </c>
      <c r="C315" t="s">
        <v>19</v>
      </c>
      <c r="D315" t="s">
        <v>25</v>
      </c>
      <c r="E315" t="s">
        <v>33</v>
      </c>
      <c r="F315" s="4">
        <v>6</v>
      </c>
      <c r="G315" s="4">
        <v>114657.60000000001</v>
      </c>
      <c r="H315" s="4">
        <v>83927.85</v>
      </c>
      <c r="I315" s="8">
        <v>0.2</v>
      </c>
      <c r="J315" s="4">
        <v>30729.75</v>
      </c>
      <c r="K315" s="4" t="str">
        <f t="shared" si="16"/>
        <v>September</v>
      </c>
      <c r="L315">
        <f t="shared" si="17"/>
        <v>9</v>
      </c>
      <c r="M315" s="9">
        <f t="shared" si="18"/>
        <v>0.26801319755515551</v>
      </c>
      <c r="N315" s="9">
        <f t="shared" si="19"/>
        <v>1.0617877012343477E-3</v>
      </c>
    </row>
    <row r="316" spans="1:14" x14ac:dyDescent="0.35">
      <c r="A316" s="6">
        <v>44970</v>
      </c>
      <c r="B316" t="s">
        <v>12</v>
      </c>
      <c r="C316" t="s">
        <v>23</v>
      </c>
      <c r="D316" t="s">
        <v>25</v>
      </c>
      <c r="E316" t="s">
        <v>37</v>
      </c>
      <c r="F316" s="4">
        <v>3</v>
      </c>
      <c r="G316" s="4">
        <v>132810.29999999999</v>
      </c>
      <c r="H316" s="4">
        <v>78048.5</v>
      </c>
      <c r="I316" s="8">
        <v>0.1</v>
      </c>
      <c r="J316" s="4">
        <v>54761.8</v>
      </c>
      <c r="K316" s="4" t="str">
        <f t="shared" si="16"/>
        <v>February</v>
      </c>
      <c r="L316">
        <f t="shared" si="17"/>
        <v>2</v>
      </c>
      <c r="M316" s="9">
        <f t="shared" si="18"/>
        <v>0.41233097131773672</v>
      </c>
      <c r="N316" s="9">
        <f t="shared" si="19"/>
        <v>1.2298909373407788E-3</v>
      </c>
    </row>
    <row r="317" spans="1:14" x14ac:dyDescent="0.35">
      <c r="A317" s="6">
        <v>44945</v>
      </c>
      <c r="B317" t="s">
        <v>12</v>
      </c>
      <c r="C317" t="s">
        <v>24</v>
      </c>
      <c r="D317" t="s">
        <v>25</v>
      </c>
      <c r="E317" t="s">
        <v>33</v>
      </c>
      <c r="F317" s="4">
        <v>5</v>
      </c>
      <c r="G317" s="4">
        <v>8442</v>
      </c>
      <c r="H317" s="4">
        <v>5271.08</v>
      </c>
      <c r="I317" s="8">
        <v>0.1</v>
      </c>
      <c r="J317" s="4">
        <v>3170.92</v>
      </c>
      <c r="K317" s="4" t="str">
        <f t="shared" si="16"/>
        <v>January</v>
      </c>
      <c r="L317">
        <f t="shared" si="17"/>
        <v>1</v>
      </c>
      <c r="M317" s="9">
        <f t="shared" si="18"/>
        <v>0.37561241411987684</v>
      </c>
      <c r="N317" s="9">
        <f t="shared" si="19"/>
        <v>7.8177214365383226E-5</v>
      </c>
    </row>
    <row r="318" spans="1:14" x14ac:dyDescent="0.35">
      <c r="A318" s="6">
        <v>45288</v>
      </c>
      <c r="B318" t="s">
        <v>9</v>
      </c>
      <c r="C318" t="s">
        <v>13</v>
      </c>
      <c r="D318" t="s">
        <v>28</v>
      </c>
      <c r="E318" t="s">
        <v>42</v>
      </c>
      <c r="F318" s="4">
        <v>4</v>
      </c>
      <c r="G318" s="4">
        <v>31987.200000000001</v>
      </c>
      <c r="H318" s="4">
        <v>18873.02</v>
      </c>
      <c r="I318" s="8">
        <v>0.2</v>
      </c>
      <c r="J318" s="4">
        <v>13114.18</v>
      </c>
      <c r="K318" s="4" t="str">
        <f t="shared" si="16"/>
        <v>December</v>
      </c>
      <c r="L318">
        <f t="shared" si="17"/>
        <v>12</v>
      </c>
      <c r="M318" s="9">
        <f t="shared" si="18"/>
        <v>0.40998211784713884</v>
      </c>
      <c r="N318" s="9">
        <f t="shared" si="19"/>
        <v>2.9621774358545204E-4</v>
      </c>
    </row>
    <row r="319" spans="1:14" x14ac:dyDescent="0.35">
      <c r="A319" s="6">
        <v>45150</v>
      </c>
      <c r="B319" t="s">
        <v>10</v>
      </c>
      <c r="C319" t="s">
        <v>14</v>
      </c>
      <c r="D319" t="s">
        <v>26</v>
      </c>
      <c r="E319" t="s">
        <v>43</v>
      </c>
      <c r="F319" s="4">
        <v>3</v>
      </c>
      <c r="G319" s="4">
        <v>44196.6</v>
      </c>
      <c r="H319" s="4">
        <v>25403.96</v>
      </c>
      <c r="I319" s="8">
        <v>0.15</v>
      </c>
      <c r="J319" s="4">
        <v>18792.64</v>
      </c>
      <c r="K319" s="4" t="str">
        <f t="shared" si="16"/>
        <v>August</v>
      </c>
      <c r="L319">
        <f t="shared" si="17"/>
        <v>8</v>
      </c>
      <c r="M319" s="9">
        <f t="shared" si="18"/>
        <v>0.42520555879864064</v>
      </c>
      <c r="N319" s="9">
        <f t="shared" si="19"/>
        <v>4.0928299839150626E-4</v>
      </c>
    </row>
    <row r="320" spans="1:14" x14ac:dyDescent="0.35">
      <c r="A320" s="6">
        <v>45157</v>
      </c>
      <c r="B320" t="s">
        <v>11</v>
      </c>
      <c r="C320" t="s">
        <v>18</v>
      </c>
      <c r="D320" t="s">
        <v>28</v>
      </c>
      <c r="E320" t="s">
        <v>42</v>
      </c>
      <c r="F320" s="4">
        <v>1</v>
      </c>
      <c r="G320" s="4">
        <v>2864.8</v>
      </c>
      <c r="H320" s="4">
        <v>2100.67</v>
      </c>
      <c r="I320" s="8">
        <v>0.2</v>
      </c>
      <c r="J320" s="4">
        <v>764.13</v>
      </c>
      <c r="K320" s="4" t="str">
        <f t="shared" si="16"/>
        <v>August</v>
      </c>
      <c r="L320">
        <f t="shared" si="17"/>
        <v>8</v>
      </c>
      <c r="M320" s="9">
        <f t="shared" si="18"/>
        <v>0.2667306618263055</v>
      </c>
      <c r="N320" s="9">
        <f t="shared" si="19"/>
        <v>2.652950529660624E-5</v>
      </c>
    </row>
    <row r="321" spans="1:14" x14ac:dyDescent="0.35">
      <c r="A321" s="6">
        <v>44980</v>
      </c>
      <c r="B321" t="s">
        <v>9</v>
      </c>
      <c r="C321" t="s">
        <v>15</v>
      </c>
      <c r="D321" t="s">
        <v>28</v>
      </c>
      <c r="E321" t="s">
        <v>39</v>
      </c>
      <c r="F321" s="4">
        <v>5</v>
      </c>
      <c r="G321" s="4">
        <v>94349.25</v>
      </c>
      <c r="H321" s="4">
        <v>69841.81</v>
      </c>
      <c r="I321" s="8">
        <v>0.05</v>
      </c>
      <c r="J321" s="4">
        <v>24507.439999999999</v>
      </c>
      <c r="K321" s="4" t="str">
        <f t="shared" si="16"/>
        <v>February</v>
      </c>
      <c r="L321">
        <f t="shared" si="17"/>
        <v>2</v>
      </c>
      <c r="M321" s="9">
        <f t="shared" si="18"/>
        <v>0.25975235627204241</v>
      </c>
      <c r="N321" s="9">
        <f t="shared" si="19"/>
        <v>8.7372204956919365E-4</v>
      </c>
    </row>
    <row r="322" spans="1:14" x14ac:dyDescent="0.35">
      <c r="A322" s="6">
        <v>45001</v>
      </c>
      <c r="B322" t="s">
        <v>11</v>
      </c>
      <c r="C322" t="s">
        <v>16</v>
      </c>
      <c r="D322" t="s">
        <v>28</v>
      </c>
      <c r="E322" t="s">
        <v>36</v>
      </c>
      <c r="F322" s="4">
        <v>1</v>
      </c>
      <c r="G322" s="4">
        <v>16298.4</v>
      </c>
      <c r="H322" s="4">
        <v>10463.33</v>
      </c>
      <c r="I322" s="8">
        <v>0.2</v>
      </c>
      <c r="J322" s="4">
        <v>5835.07</v>
      </c>
      <c r="K322" s="4" t="str">
        <f t="shared" si="16"/>
        <v>March</v>
      </c>
      <c r="L322">
        <f t="shared" si="17"/>
        <v>3</v>
      </c>
      <c r="M322" s="9">
        <f t="shared" si="18"/>
        <v>0.35801489716782015</v>
      </c>
      <c r="N322" s="9">
        <f t="shared" si="19"/>
        <v>1.5093147484159699E-4</v>
      </c>
    </row>
    <row r="323" spans="1:14" x14ac:dyDescent="0.35">
      <c r="A323" s="6">
        <v>45058</v>
      </c>
      <c r="B323" t="s">
        <v>11</v>
      </c>
      <c r="C323" t="s">
        <v>17</v>
      </c>
      <c r="D323" t="s">
        <v>25</v>
      </c>
      <c r="E323" t="s">
        <v>29</v>
      </c>
      <c r="F323" s="4">
        <v>6</v>
      </c>
      <c r="G323" s="4">
        <v>67969.8</v>
      </c>
      <c r="H323" s="4">
        <v>54313.55</v>
      </c>
      <c r="I323" s="8">
        <v>0.1</v>
      </c>
      <c r="J323" s="4">
        <v>13656.25</v>
      </c>
      <c r="K323" s="4" t="str">
        <f t="shared" ref="K323:K386" si="20">TEXT(A323,"mmmm")</f>
        <v>May</v>
      </c>
      <c r="L323">
        <f t="shared" ref="L323:L386" si="21">MONTH(A323)</f>
        <v>5</v>
      </c>
      <c r="M323" s="9">
        <f t="shared" ref="M323:M386" si="22">J323/G323</f>
        <v>0.20091643641735005</v>
      </c>
      <c r="N323" s="9">
        <f t="shared" ref="N323:N386" si="23">G323/SUM(G:G)</f>
        <v>6.2943492359301403E-4</v>
      </c>
    </row>
    <row r="324" spans="1:14" x14ac:dyDescent="0.35">
      <c r="A324" s="6">
        <v>45156</v>
      </c>
      <c r="B324" t="s">
        <v>9</v>
      </c>
      <c r="C324" t="s">
        <v>13</v>
      </c>
      <c r="D324" t="s">
        <v>26</v>
      </c>
      <c r="E324" t="s">
        <v>30</v>
      </c>
      <c r="F324" s="4">
        <v>2</v>
      </c>
      <c r="G324" s="4">
        <v>86650.2</v>
      </c>
      <c r="H324" s="4">
        <v>50643.21</v>
      </c>
      <c r="I324" s="8">
        <v>0.1</v>
      </c>
      <c r="J324" s="4">
        <v>36006.99</v>
      </c>
      <c r="K324" s="4" t="str">
        <f t="shared" si="20"/>
        <v>August</v>
      </c>
      <c r="L324">
        <f t="shared" si="21"/>
        <v>8</v>
      </c>
      <c r="M324" s="9">
        <f t="shared" si="22"/>
        <v>0.4155442226330695</v>
      </c>
      <c r="N324" s="9">
        <f t="shared" si="23"/>
        <v>8.0242493013543345E-4</v>
      </c>
    </row>
    <row r="325" spans="1:14" x14ac:dyDescent="0.35">
      <c r="A325" s="6">
        <v>44946</v>
      </c>
      <c r="B325" t="s">
        <v>12</v>
      </c>
      <c r="C325" t="s">
        <v>24</v>
      </c>
      <c r="D325" t="s">
        <v>26</v>
      </c>
      <c r="E325" t="s">
        <v>35</v>
      </c>
      <c r="F325" s="4">
        <v>5</v>
      </c>
      <c r="G325" s="4">
        <v>63907.25</v>
      </c>
      <c r="H325" s="4">
        <v>38045.89</v>
      </c>
      <c r="I325" s="8">
        <v>0.15</v>
      </c>
      <c r="J325" s="4">
        <v>25861.360000000001</v>
      </c>
      <c r="K325" s="4" t="str">
        <f t="shared" si="20"/>
        <v>January</v>
      </c>
      <c r="L325">
        <f t="shared" si="21"/>
        <v>1</v>
      </c>
      <c r="M325" s="9">
        <f t="shared" si="22"/>
        <v>0.40467020564959377</v>
      </c>
      <c r="N325" s="9">
        <f t="shared" si="23"/>
        <v>5.918136440123356E-4</v>
      </c>
    </row>
    <row r="326" spans="1:14" x14ac:dyDescent="0.35">
      <c r="A326" s="6">
        <v>45262</v>
      </c>
      <c r="B326" t="s">
        <v>12</v>
      </c>
      <c r="C326" t="s">
        <v>21</v>
      </c>
      <c r="D326" t="s">
        <v>25</v>
      </c>
      <c r="E326" t="s">
        <v>37</v>
      </c>
      <c r="F326" s="4">
        <v>5</v>
      </c>
      <c r="G326" s="4">
        <v>133636.5</v>
      </c>
      <c r="H326" s="4">
        <v>75666.78</v>
      </c>
      <c r="I326" s="8">
        <v>0.1</v>
      </c>
      <c r="J326" s="4">
        <v>57969.72</v>
      </c>
      <c r="K326" s="4" t="str">
        <f t="shared" si="20"/>
        <v>December</v>
      </c>
      <c r="L326">
        <f t="shared" si="21"/>
        <v>12</v>
      </c>
      <c r="M326" s="9">
        <f t="shared" si="22"/>
        <v>0.4337865777687982</v>
      </c>
      <c r="N326" s="9">
        <f t="shared" si="23"/>
        <v>1.2375419696208879E-3</v>
      </c>
    </row>
    <row r="327" spans="1:14" x14ac:dyDescent="0.35">
      <c r="A327" s="6">
        <v>45085</v>
      </c>
      <c r="B327" t="s">
        <v>10</v>
      </c>
      <c r="C327" t="s">
        <v>22</v>
      </c>
      <c r="D327" t="s">
        <v>26</v>
      </c>
      <c r="E327" t="s">
        <v>30</v>
      </c>
      <c r="F327" s="4">
        <v>6</v>
      </c>
      <c r="G327" s="4">
        <v>251045.1</v>
      </c>
      <c r="H327" s="4">
        <v>175691.97</v>
      </c>
      <c r="I327" s="8">
        <v>0.05</v>
      </c>
      <c r="J327" s="4">
        <v>75353.13</v>
      </c>
      <c r="K327" s="4" t="str">
        <f t="shared" si="20"/>
        <v>June</v>
      </c>
      <c r="L327">
        <f t="shared" si="21"/>
        <v>6</v>
      </c>
      <c r="M327" s="9">
        <f t="shared" si="22"/>
        <v>0.30015774058127404</v>
      </c>
      <c r="N327" s="9">
        <f t="shared" si="23"/>
        <v>2.3248053302628606E-3</v>
      </c>
    </row>
    <row r="328" spans="1:14" x14ac:dyDescent="0.35">
      <c r="A328" s="6">
        <v>45240</v>
      </c>
      <c r="B328" t="s">
        <v>11</v>
      </c>
      <c r="C328" t="s">
        <v>17</v>
      </c>
      <c r="D328" t="s">
        <v>27</v>
      </c>
      <c r="E328" t="s">
        <v>40</v>
      </c>
      <c r="F328" s="4">
        <v>6</v>
      </c>
      <c r="G328" s="4">
        <v>63326.400000000001</v>
      </c>
      <c r="H328" s="4">
        <v>46638.71</v>
      </c>
      <c r="I328" s="8">
        <v>0.2</v>
      </c>
      <c r="J328" s="4">
        <v>16687.689999999999</v>
      </c>
      <c r="K328" s="4" t="str">
        <f t="shared" si="20"/>
        <v>November</v>
      </c>
      <c r="L328">
        <f t="shared" si="21"/>
        <v>11</v>
      </c>
      <c r="M328" s="9">
        <f t="shared" si="22"/>
        <v>0.26351869046716692</v>
      </c>
      <c r="N328" s="9">
        <f t="shared" si="23"/>
        <v>5.8643467753944614E-4</v>
      </c>
    </row>
    <row r="329" spans="1:14" x14ac:dyDescent="0.35">
      <c r="A329" s="6">
        <v>45039</v>
      </c>
      <c r="B329" t="s">
        <v>10</v>
      </c>
      <c r="C329" t="s">
        <v>14</v>
      </c>
      <c r="D329" t="s">
        <v>25</v>
      </c>
      <c r="E329" t="s">
        <v>37</v>
      </c>
      <c r="F329" s="4">
        <v>3</v>
      </c>
      <c r="G329" s="4">
        <v>42187.199999999997</v>
      </c>
      <c r="H329" s="4">
        <v>24493.64</v>
      </c>
      <c r="I329" s="8">
        <v>0.15</v>
      </c>
      <c r="J329" s="4">
        <v>17693.560000000001</v>
      </c>
      <c r="K329" s="4" t="str">
        <f t="shared" si="20"/>
        <v>April</v>
      </c>
      <c r="L329">
        <f t="shared" si="21"/>
        <v>4</v>
      </c>
      <c r="M329" s="9">
        <f t="shared" si="22"/>
        <v>0.41940588614556079</v>
      </c>
      <c r="N329" s="9">
        <f t="shared" si="23"/>
        <v>3.9067493222877218E-4</v>
      </c>
    </row>
    <row r="330" spans="1:14" x14ac:dyDescent="0.35">
      <c r="A330" s="6">
        <v>45239</v>
      </c>
      <c r="B330" t="s">
        <v>9</v>
      </c>
      <c r="C330" t="s">
        <v>13</v>
      </c>
      <c r="D330" t="s">
        <v>28</v>
      </c>
      <c r="E330" t="s">
        <v>42</v>
      </c>
      <c r="F330" s="4">
        <v>4</v>
      </c>
      <c r="G330" s="4">
        <v>66959.600000000006</v>
      </c>
      <c r="H330" s="4">
        <v>49142.71</v>
      </c>
      <c r="I330" s="8">
        <v>0.15</v>
      </c>
      <c r="J330" s="4">
        <v>17816.89</v>
      </c>
      <c r="K330" s="4" t="str">
        <f t="shared" si="20"/>
        <v>November</v>
      </c>
      <c r="L330">
        <f t="shared" si="21"/>
        <v>11</v>
      </c>
      <c r="M330" s="9">
        <f t="shared" si="22"/>
        <v>0.26608417613008439</v>
      </c>
      <c r="N330" s="9">
        <f t="shared" si="23"/>
        <v>6.2007995771384914E-4</v>
      </c>
    </row>
    <row r="331" spans="1:14" x14ac:dyDescent="0.35">
      <c r="A331" s="6">
        <v>44973</v>
      </c>
      <c r="B331" t="s">
        <v>11</v>
      </c>
      <c r="C331" t="s">
        <v>18</v>
      </c>
      <c r="D331" t="s">
        <v>27</v>
      </c>
      <c r="E331" t="s">
        <v>38</v>
      </c>
      <c r="F331" s="4">
        <v>1</v>
      </c>
      <c r="G331" s="4">
        <v>38890.050000000003</v>
      </c>
      <c r="H331" s="4">
        <v>26213.51</v>
      </c>
      <c r="I331" s="8">
        <v>0.15</v>
      </c>
      <c r="J331" s="4">
        <v>12676.54</v>
      </c>
      <c r="K331" s="4" t="str">
        <f t="shared" si="20"/>
        <v>February</v>
      </c>
      <c r="L331">
        <f t="shared" si="21"/>
        <v>2</v>
      </c>
      <c r="M331" s="9">
        <f t="shared" si="22"/>
        <v>0.32595843924088552</v>
      </c>
      <c r="N331" s="9">
        <f t="shared" si="23"/>
        <v>3.6014164599981898E-4</v>
      </c>
    </row>
    <row r="332" spans="1:14" x14ac:dyDescent="0.35">
      <c r="A332" s="6">
        <v>45251</v>
      </c>
      <c r="B332" t="s">
        <v>9</v>
      </c>
      <c r="C332" t="s">
        <v>15</v>
      </c>
      <c r="D332" t="s">
        <v>28</v>
      </c>
      <c r="E332" t="s">
        <v>42</v>
      </c>
      <c r="F332" s="4">
        <v>6</v>
      </c>
      <c r="G332" s="4">
        <v>296988</v>
      </c>
      <c r="H332" s="4">
        <v>233901.27</v>
      </c>
      <c r="I332" s="8">
        <v>0</v>
      </c>
      <c r="J332" s="4">
        <v>63086.73</v>
      </c>
      <c r="K332" s="4" t="str">
        <f t="shared" si="20"/>
        <v>November</v>
      </c>
      <c r="L332">
        <f t="shared" si="21"/>
        <v>11</v>
      </c>
      <c r="M332" s="9">
        <f t="shared" si="22"/>
        <v>0.21242181502282922</v>
      </c>
      <c r="N332" s="9">
        <f t="shared" si="23"/>
        <v>2.7502599549806247E-3</v>
      </c>
    </row>
    <row r="333" spans="1:14" x14ac:dyDescent="0.35">
      <c r="A333" s="6">
        <v>45044</v>
      </c>
      <c r="B333" t="s">
        <v>12</v>
      </c>
      <c r="C333" t="s">
        <v>23</v>
      </c>
      <c r="D333" t="s">
        <v>28</v>
      </c>
      <c r="E333" t="s">
        <v>36</v>
      </c>
      <c r="F333" s="4">
        <v>3</v>
      </c>
      <c r="G333" s="4">
        <v>141594</v>
      </c>
      <c r="H333" s="4">
        <v>98613.5</v>
      </c>
      <c r="I333" s="8">
        <v>0</v>
      </c>
      <c r="J333" s="4">
        <v>42980.5</v>
      </c>
      <c r="K333" s="4" t="str">
        <f t="shared" si="20"/>
        <v>April</v>
      </c>
      <c r="L333">
        <f t="shared" si="21"/>
        <v>4</v>
      </c>
      <c r="M333" s="9">
        <f t="shared" si="22"/>
        <v>0.30354746670056643</v>
      </c>
      <c r="N333" s="9">
        <f t="shared" si="23"/>
        <v>1.3112324675257133E-3</v>
      </c>
    </row>
    <row r="334" spans="1:14" x14ac:dyDescent="0.35">
      <c r="A334" s="6">
        <v>44961</v>
      </c>
      <c r="B334" t="s">
        <v>12</v>
      </c>
      <c r="C334" t="s">
        <v>24</v>
      </c>
      <c r="D334" t="s">
        <v>27</v>
      </c>
      <c r="E334" t="s">
        <v>40</v>
      </c>
      <c r="F334" s="4">
        <v>5</v>
      </c>
      <c r="G334" s="4">
        <v>77976</v>
      </c>
      <c r="H334" s="4">
        <v>43981.120000000003</v>
      </c>
      <c r="I334" s="8">
        <v>0.2</v>
      </c>
      <c r="J334" s="4">
        <v>33994.879999999997</v>
      </c>
      <c r="K334" s="4" t="str">
        <f t="shared" si="20"/>
        <v>February</v>
      </c>
      <c r="L334">
        <f t="shared" si="21"/>
        <v>2</v>
      </c>
      <c r="M334" s="9">
        <f t="shared" si="22"/>
        <v>0.43596593823740637</v>
      </c>
      <c r="N334" s="9">
        <f t="shared" si="23"/>
        <v>7.220974256521111E-4</v>
      </c>
    </row>
    <row r="335" spans="1:14" x14ac:dyDescent="0.35">
      <c r="A335" s="6">
        <v>45000</v>
      </c>
      <c r="B335" t="s">
        <v>10</v>
      </c>
      <c r="C335" t="s">
        <v>19</v>
      </c>
      <c r="D335" t="s">
        <v>25</v>
      </c>
      <c r="E335" t="s">
        <v>33</v>
      </c>
      <c r="F335" s="4">
        <v>5</v>
      </c>
      <c r="G335" s="4">
        <v>33996</v>
      </c>
      <c r="H335" s="4">
        <v>22785.02</v>
      </c>
      <c r="I335" s="8">
        <v>0.2</v>
      </c>
      <c r="J335" s="4">
        <v>11210.98</v>
      </c>
      <c r="K335" s="4" t="str">
        <f t="shared" si="20"/>
        <v>March</v>
      </c>
      <c r="L335">
        <f t="shared" si="21"/>
        <v>3</v>
      </c>
      <c r="M335" s="9">
        <f t="shared" si="22"/>
        <v>0.32977350276503115</v>
      </c>
      <c r="N335" s="9">
        <f t="shared" si="23"/>
        <v>3.1482025344297179E-4</v>
      </c>
    </row>
    <row r="336" spans="1:14" x14ac:dyDescent="0.35">
      <c r="A336" s="6">
        <v>45206</v>
      </c>
      <c r="B336" t="s">
        <v>11</v>
      </c>
      <c r="C336" t="s">
        <v>16</v>
      </c>
      <c r="D336" t="s">
        <v>26</v>
      </c>
      <c r="E336" t="s">
        <v>34</v>
      </c>
      <c r="F336" s="4">
        <v>2</v>
      </c>
      <c r="G336" s="4">
        <v>38408.5</v>
      </c>
      <c r="H336" s="4">
        <v>29856.75</v>
      </c>
      <c r="I336" s="8">
        <v>0.05</v>
      </c>
      <c r="J336" s="4">
        <v>8551.75</v>
      </c>
      <c r="K336" s="4" t="str">
        <f t="shared" si="20"/>
        <v>October</v>
      </c>
      <c r="L336">
        <f t="shared" si="21"/>
        <v>10</v>
      </c>
      <c r="M336" s="9">
        <f t="shared" si="22"/>
        <v>0.22265253784969474</v>
      </c>
      <c r="N336" s="9">
        <f t="shared" si="23"/>
        <v>3.5568224803989831E-4</v>
      </c>
    </row>
    <row r="337" spans="1:14" x14ac:dyDescent="0.35">
      <c r="A337" s="6">
        <v>44957</v>
      </c>
      <c r="B337" t="s">
        <v>12</v>
      </c>
      <c r="C337" t="s">
        <v>24</v>
      </c>
      <c r="D337" t="s">
        <v>27</v>
      </c>
      <c r="E337" t="s">
        <v>41</v>
      </c>
      <c r="F337" s="4">
        <v>6</v>
      </c>
      <c r="G337" s="4">
        <v>241775.7</v>
      </c>
      <c r="H337" s="4">
        <v>141157.97</v>
      </c>
      <c r="I337" s="8">
        <v>0.15</v>
      </c>
      <c r="J337" s="4">
        <v>100617.73</v>
      </c>
      <c r="K337" s="4" t="str">
        <f t="shared" si="20"/>
        <v>January</v>
      </c>
      <c r="L337">
        <f t="shared" si="21"/>
        <v>1</v>
      </c>
      <c r="M337" s="9">
        <f t="shared" si="22"/>
        <v>0.41616146701260709</v>
      </c>
      <c r="N337" s="9">
        <f t="shared" si="23"/>
        <v>2.2389659710069397E-3</v>
      </c>
    </row>
    <row r="338" spans="1:14" x14ac:dyDescent="0.35">
      <c r="A338" s="6">
        <v>45268</v>
      </c>
      <c r="B338" t="s">
        <v>11</v>
      </c>
      <c r="C338" t="s">
        <v>16</v>
      </c>
      <c r="D338" t="s">
        <v>26</v>
      </c>
      <c r="E338" t="s">
        <v>43</v>
      </c>
      <c r="F338" s="4">
        <v>6</v>
      </c>
      <c r="G338" s="4">
        <v>9848.1</v>
      </c>
      <c r="H338" s="4">
        <v>5526.25</v>
      </c>
      <c r="I338" s="8">
        <v>0.15</v>
      </c>
      <c r="J338" s="4">
        <v>4321.8500000000004</v>
      </c>
      <c r="K338" s="4" t="str">
        <f t="shared" si="20"/>
        <v>December</v>
      </c>
      <c r="L338">
        <f t="shared" si="21"/>
        <v>12</v>
      </c>
      <c r="M338" s="9">
        <f t="shared" si="22"/>
        <v>0.43885114895258986</v>
      </c>
      <c r="N338" s="9">
        <f t="shared" si="23"/>
        <v>9.1198415635125631E-5</v>
      </c>
    </row>
    <row r="339" spans="1:14" x14ac:dyDescent="0.35">
      <c r="A339" s="6">
        <v>45108</v>
      </c>
      <c r="B339" t="s">
        <v>11</v>
      </c>
      <c r="C339" t="s">
        <v>17</v>
      </c>
      <c r="D339" t="s">
        <v>25</v>
      </c>
      <c r="E339" t="s">
        <v>29</v>
      </c>
      <c r="F339" s="4">
        <v>4</v>
      </c>
      <c r="G339" s="4">
        <v>34051.800000000003</v>
      </c>
      <c r="H339" s="4">
        <v>21043.58</v>
      </c>
      <c r="I339" s="8">
        <v>0.05</v>
      </c>
      <c r="J339" s="4">
        <v>13008.22</v>
      </c>
      <c r="K339" s="4" t="str">
        <f t="shared" si="20"/>
        <v>July</v>
      </c>
      <c r="L339">
        <f t="shared" si="21"/>
        <v>7</v>
      </c>
      <c r="M339" s="9">
        <f t="shared" si="22"/>
        <v>0.38201269830082396</v>
      </c>
      <c r="N339" s="9">
        <f t="shared" si="23"/>
        <v>3.1533698982790296E-4</v>
      </c>
    </row>
    <row r="340" spans="1:14" x14ac:dyDescent="0.35">
      <c r="A340" s="6">
        <v>45033</v>
      </c>
      <c r="B340" t="s">
        <v>9</v>
      </c>
      <c r="C340" t="s">
        <v>20</v>
      </c>
      <c r="D340" t="s">
        <v>27</v>
      </c>
      <c r="E340" t="s">
        <v>38</v>
      </c>
      <c r="F340" s="4">
        <v>6</v>
      </c>
      <c r="G340" s="4">
        <v>203040</v>
      </c>
      <c r="H340" s="4">
        <v>154974.82999999999</v>
      </c>
      <c r="I340" s="8">
        <v>0.2</v>
      </c>
      <c r="J340" s="4">
        <v>48065.17</v>
      </c>
      <c r="K340" s="4" t="str">
        <f t="shared" si="20"/>
        <v>April</v>
      </c>
      <c r="L340">
        <f t="shared" si="21"/>
        <v>4</v>
      </c>
      <c r="M340" s="9">
        <f t="shared" si="22"/>
        <v>0.23672759062253743</v>
      </c>
      <c r="N340" s="9">
        <f t="shared" si="23"/>
        <v>1.8802536845235027E-3</v>
      </c>
    </row>
    <row r="341" spans="1:14" x14ac:dyDescent="0.35">
      <c r="A341" s="6">
        <v>44933</v>
      </c>
      <c r="B341" t="s">
        <v>11</v>
      </c>
      <c r="C341" t="s">
        <v>18</v>
      </c>
      <c r="D341" t="s">
        <v>28</v>
      </c>
      <c r="E341" t="s">
        <v>42</v>
      </c>
      <c r="F341" s="4">
        <v>1</v>
      </c>
      <c r="G341" s="4">
        <v>13933.2</v>
      </c>
      <c r="H341" s="4">
        <v>8761.16</v>
      </c>
      <c r="I341" s="8">
        <v>0.15</v>
      </c>
      <c r="J341" s="4">
        <v>5172.04</v>
      </c>
      <c r="K341" s="4" t="str">
        <f t="shared" si="20"/>
        <v>January</v>
      </c>
      <c r="L341">
        <f t="shared" si="21"/>
        <v>1</v>
      </c>
      <c r="M341" s="9">
        <f t="shared" si="22"/>
        <v>0.37120259524014582</v>
      </c>
      <c r="N341" s="9">
        <f t="shared" si="23"/>
        <v>1.2902851968677536E-4</v>
      </c>
    </row>
    <row r="342" spans="1:14" x14ac:dyDescent="0.35">
      <c r="A342" s="6">
        <v>45068</v>
      </c>
      <c r="B342" t="s">
        <v>10</v>
      </c>
      <c r="C342" t="s">
        <v>22</v>
      </c>
      <c r="D342" t="s">
        <v>25</v>
      </c>
      <c r="E342" t="s">
        <v>32</v>
      </c>
      <c r="F342" s="4">
        <v>3</v>
      </c>
      <c r="G342" s="4">
        <v>4010.4</v>
      </c>
      <c r="H342" s="4">
        <v>2258.11</v>
      </c>
      <c r="I342" s="8">
        <v>0.2</v>
      </c>
      <c r="J342" s="4">
        <v>1752.29</v>
      </c>
      <c r="K342" s="4" t="str">
        <f t="shared" si="20"/>
        <v>May</v>
      </c>
      <c r="L342">
        <f t="shared" si="21"/>
        <v>5</v>
      </c>
      <c r="M342" s="9">
        <f t="shared" si="22"/>
        <v>0.43693646519050466</v>
      </c>
      <c r="N342" s="9">
        <f t="shared" si="23"/>
        <v>3.7138344052467765E-5</v>
      </c>
    </row>
    <row r="343" spans="1:14" x14ac:dyDescent="0.35">
      <c r="A343" s="6">
        <v>45231</v>
      </c>
      <c r="B343" t="s">
        <v>12</v>
      </c>
      <c r="C343" t="s">
        <v>23</v>
      </c>
      <c r="D343" t="s">
        <v>28</v>
      </c>
      <c r="E343" t="s">
        <v>39</v>
      </c>
      <c r="F343" s="4">
        <v>2</v>
      </c>
      <c r="G343" s="4">
        <v>51710.400000000001</v>
      </c>
      <c r="H343" s="4">
        <v>37815.24</v>
      </c>
      <c r="I343" s="8">
        <v>0.1</v>
      </c>
      <c r="J343" s="4">
        <v>13895.16</v>
      </c>
      <c r="K343" s="4" t="str">
        <f t="shared" si="20"/>
        <v>November</v>
      </c>
      <c r="L343">
        <f t="shared" si="21"/>
        <v>11</v>
      </c>
      <c r="M343" s="9">
        <f t="shared" si="22"/>
        <v>0.26871112967604194</v>
      </c>
      <c r="N343" s="9">
        <f t="shared" si="23"/>
        <v>4.788646085903474E-4</v>
      </c>
    </row>
    <row r="344" spans="1:14" x14ac:dyDescent="0.35">
      <c r="A344" s="6">
        <v>45104</v>
      </c>
      <c r="B344" t="s">
        <v>9</v>
      </c>
      <c r="C344" t="s">
        <v>15</v>
      </c>
      <c r="D344" t="s">
        <v>27</v>
      </c>
      <c r="E344" t="s">
        <v>38</v>
      </c>
      <c r="F344" s="4">
        <v>4</v>
      </c>
      <c r="G344" s="4">
        <v>54003.199999999997</v>
      </c>
      <c r="H344" s="4">
        <v>31242.14</v>
      </c>
      <c r="I344" s="8">
        <v>0.2</v>
      </c>
      <c r="J344" s="4">
        <v>22761.06</v>
      </c>
      <c r="K344" s="4" t="str">
        <f t="shared" si="20"/>
        <v>June</v>
      </c>
      <c r="L344">
        <f t="shared" si="21"/>
        <v>6</v>
      </c>
      <c r="M344" s="9">
        <f t="shared" si="22"/>
        <v>0.42147613474757056</v>
      </c>
      <c r="N344" s="9">
        <f t="shared" si="23"/>
        <v>5.0009710291597524E-4</v>
      </c>
    </row>
    <row r="345" spans="1:14" x14ac:dyDescent="0.35">
      <c r="A345" s="6">
        <v>44987</v>
      </c>
      <c r="B345" t="s">
        <v>12</v>
      </c>
      <c r="C345" t="s">
        <v>21</v>
      </c>
      <c r="D345" t="s">
        <v>28</v>
      </c>
      <c r="E345" t="s">
        <v>39</v>
      </c>
      <c r="F345" s="4">
        <v>7</v>
      </c>
      <c r="G345" s="4">
        <v>237055</v>
      </c>
      <c r="H345" s="4">
        <v>161398.35999999999</v>
      </c>
      <c r="I345" s="8">
        <v>0</v>
      </c>
      <c r="J345" s="4">
        <v>75656.639999999999</v>
      </c>
      <c r="K345" s="4" t="str">
        <f t="shared" si="20"/>
        <v>March</v>
      </c>
      <c r="L345">
        <f t="shared" si="21"/>
        <v>3</v>
      </c>
      <c r="M345" s="9">
        <f t="shared" si="22"/>
        <v>0.31915226424247539</v>
      </c>
      <c r="N345" s="9">
        <f t="shared" si="23"/>
        <v>2.1952498876315943E-3</v>
      </c>
    </row>
    <row r="346" spans="1:14" x14ac:dyDescent="0.35">
      <c r="A346" s="6">
        <v>45124</v>
      </c>
      <c r="B346" t="s">
        <v>12</v>
      </c>
      <c r="C346" t="s">
        <v>24</v>
      </c>
      <c r="D346" t="s">
        <v>26</v>
      </c>
      <c r="E346" t="s">
        <v>34</v>
      </c>
      <c r="F346" s="4">
        <v>3</v>
      </c>
      <c r="G346" s="4">
        <v>141780</v>
      </c>
      <c r="H346" s="4">
        <v>97244.71</v>
      </c>
      <c r="I346" s="8">
        <v>0</v>
      </c>
      <c r="J346" s="4">
        <v>44535.29</v>
      </c>
      <c r="K346" s="4" t="str">
        <f t="shared" si="20"/>
        <v>July</v>
      </c>
      <c r="L346">
        <f t="shared" si="21"/>
        <v>7</v>
      </c>
      <c r="M346" s="9">
        <f t="shared" si="22"/>
        <v>0.31411546057271827</v>
      </c>
      <c r="N346" s="9">
        <f t="shared" si="23"/>
        <v>1.3129549221421503E-3</v>
      </c>
    </row>
    <row r="347" spans="1:14" x14ac:dyDescent="0.35">
      <c r="A347" s="6">
        <v>45024</v>
      </c>
      <c r="B347" t="s">
        <v>10</v>
      </c>
      <c r="C347" t="s">
        <v>14</v>
      </c>
      <c r="D347" t="s">
        <v>28</v>
      </c>
      <c r="E347" t="s">
        <v>39</v>
      </c>
      <c r="F347" s="4">
        <v>5</v>
      </c>
      <c r="G347" s="4">
        <v>92105</v>
      </c>
      <c r="H347" s="4">
        <v>66062.83</v>
      </c>
      <c r="I347" s="8">
        <v>0</v>
      </c>
      <c r="J347" s="4">
        <v>26042.17</v>
      </c>
      <c r="K347" s="4" t="str">
        <f t="shared" si="20"/>
        <v>April</v>
      </c>
      <c r="L347">
        <f t="shared" si="21"/>
        <v>4</v>
      </c>
      <c r="M347" s="9">
        <f t="shared" si="22"/>
        <v>0.28274436784105095</v>
      </c>
      <c r="N347" s="9">
        <f t="shared" si="23"/>
        <v>8.5293915294049061E-4</v>
      </c>
    </row>
    <row r="348" spans="1:14" x14ac:dyDescent="0.35">
      <c r="A348" s="6">
        <v>45025</v>
      </c>
      <c r="B348" t="s">
        <v>11</v>
      </c>
      <c r="C348" t="s">
        <v>17</v>
      </c>
      <c r="D348" t="s">
        <v>27</v>
      </c>
      <c r="E348" t="s">
        <v>40</v>
      </c>
      <c r="F348" s="4">
        <v>6</v>
      </c>
      <c r="G348" s="4">
        <v>46078.5</v>
      </c>
      <c r="H348" s="4">
        <v>29443.85</v>
      </c>
      <c r="I348" s="8">
        <v>0.15</v>
      </c>
      <c r="J348" s="4">
        <v>16634.650000000001</v>
      </c>
      <c r="K348" s="4" t="str">
        <f t="shared" si="20"/>
        <v>April</v>
      </c>
      <c r="L348">
        <f t="shared" si="21"/>
        <v>4</v>
      </c>
      <c r="M348" s="9">
        <f t="shared" si="22"/>
        <v>0.36100676020269762</v>
      </c>
      <c r="N348" s="9">
        <f t="shared" si="23"/>
        <v>4.2671034969619888E-4</v>
      </c>
    </row>
    <row r="349" spans="1:14" x14ac:dyDescent="0.35">
      <c r="A349" s="6">
        <v>44994</v>
      </c>
      <c r="B349" t="s">
        <v>11</v>
      </c>
      <c r="C349" t="s">
        <v>17</v>
      </c>
      <c r="D349" t="s">
        <v>25</v>
      </c>
      <c r="E349" t="s">
        <v>33</v>
      </c>
      <c r="F349" s="4">
        <v>7</v>
      </c>
      <c r="G349" s="4">
        <v>114287.6</v>
      </c>
      <c r="H349" s="4">
        <v>78425.52</v>
      </c>
      <c r="I349" s="8">
        <v>0.15</v>
      </c>
      <c r="J349" s="4">
        <v>35862.080000000002</v>
      </c>
      <c r="K349" s="4" t="str">
        <f t="shared" si="20"/>
        <v>March</v>
      </c>
      <c r="L349">
        <f t="shared" si="21"/>
        <v>3</v>
      </c>
      <c r="M349" s="9">
        <f t="shared" si="22"/>
        <v>0.31378802249762877</v>
      </c>
      <c r="N349" s="9">
        <f t="shared" si="23"/>
        <v>1.0583613130188548E-3</v>
      </c>
    </row>
    <row r="350" spans="1:14" x14ac:dyDescent="0.35">
      <c r="A350" s="6">
        <v>45094</v>
      </c>
      <c r="B350" t="s">
        <v>10</v>
      </c>
      <c r="C350" t="s">
        <v>19</v>
      </c>
      <c r="D350" t="s">
        <v>25</v>
      </c>
      <c r="E350" t="s">
        <v>37</v>
      </c>
      <c r="F350" s="4">
        <v>5</v>
      </c>
      <c r="G350" s="4">
        <v>133016.5</v>
      </c>
      <c r="H350" s="4">
        <v>102109.4</v>
      </c>
      <c r="I350" s="8">
        <v>0.15</v>
      </c>
      <c r="J350" s="4">
        <v>30907.1</v>
      </c>
      <c r="K350" s="4" t="str">
        <f t="shared" si="20"/>
        <v>June</v>
      </c>
      <c r="L350">
        <f t="shared" si="21"/>
        <v>6</v>
      </c>
      <c r="M350" s="9">
        <f t="shared" si="22"/>
        <v>0.23235538448237625</v>
      </c>
      <c r="N350" s="9">
        <f t="shared" si="23"/>
        <v>1.2318004542327644E-3</v>
      </c>
    </row>
    <row r="351" spans="1:14" x14ac:dyDescent="0.35">
      <c r="A351" s="6">
        <v>45023</v>
      </c>
      <c r="B351" t="s">
        <v>10</v>
      </c>
      <c r="C351" t="s">
        <v>19</v>
      </c>
      <c r="D351" t="s">
        <v>27</v>
      </c>
      <c r="E351" t="s">
        <v>40</v>
      </c>
      <c r="F351" s="4">
        <v>2</v>
      </c>
      <c r="G351" s="4">
        <v>30204</v>
      </c>
      <c r="H351" s="4">
        <v>23477.72</v>
      </c>
      <c r="I351" s="8">
        <v>0.1</v>
      </c>
      <c r="J351" s="4">
        <v>6726.28</v>
      </c>
      <c r="K351" s="4" t="str">
        <f t="shared" si="20"/>
        <v>April</v>
      </c>
      <c r="L351">
        <f t="shared" si="21"/>
        <v>4</v>
      </c>
      <c r="M351" s="9">
        <f t="shared" si="22"/>
        <v>0.22269500728380345</v>
      </c>
      <c r="N351" s="9">
        <f t="shared" si="23"/>
        <v>2.7970440448851395E-4</v>
      </c>
    </row>
    <row r="352" spans="1:14" x14ac:dyDescent="0.35">
      <c r="A352" s="6">
        <v>45123</v>
      </c>
      <c r="B352" t="s">
        <v>10</v>
      </c>
      <c r="C352" t="s">
        <v>22</v>
      </c>
      <c r="D352" t="s">
        <v>28</v>
      </c>
      <c r="E352" t="s">
        <v>42</v>
      </c>
      <c r="F352" s="4">
        <v>4</v>
      </c>
      <c r="G352" s="4">
        <v>107560</v>
      </c>
      <c r="H352" s="4">
        <v>69843.59</v>
      </c>
      <c r="I352" s="8">
        <v>0</v>
      </c>
      <c r="J352" s="4">
        <v>37716.410000000003</v>
      </c>
      <c r="K352" s="4" t="str">
        <f t="shared" si="20"/>
        <v>July</v>
      </c>
      <c r="L352">
        <f t="shared" si="21"/>
        <v>7</v>
      </c>
      <c r="M352" s="9">
        <f t="shared" si="22"/>
        <v>0.35065461137969511</v>
      </c>
      <c r="N352" s="9">
        <f t="shared" si="23"/>
        <v>9.9606031475250162E-4</v>
      </c>
    </row>
    <row r="353" spans="1:14" x14ac:dyDescent="0.35">
      <c r="A353" s="6">
        <v>45090</v>
      </c>
      <c r="B353" t="s">
        <v>9</v>
      </c>
      <c r="C353" t="s">
        <v>15</v>
      </c>
      <c r="D353" t="s">
        <v>26</v>
      </c>
      <c r="E353" t="s">
        <v>30</v>
      </c>
      <c r="F353" s="4">
        <v>2</v>
      </c>
      <c r="G353" s="4">
        <v>84420.3</v>
      </c>
      <c r="H353" s="4">
        <v>63164.42</v>
      </c>
      <c r="I353" s="8">
        <v>0.15</v>
      </c>
      <c r="J353" s="4">
        <v>21255.88</v>
      </c>
      <c r="K353" s="4" t="str">
        <f t="shared" si="20"/>
        <v>June</v>
      </c>
      <c r="L353">
        <f t="shared" si="21"/>
        <v>6</v>
      </c>
      <c r="M353" s="9">
        <f t="shared" si="22"/>
        <v>0.25178635944198258</v>
      </c>
      <c r="N353" s="9">
        <f t="shared" si="23"/>
        <v>7.8177492180643939E-4</v>
      </c>
    </row>
    <row r="354" spans="1:14" x14ac:dyDescent="0.35">
      <c r="A354" s="6">
        <v>45194</v>
      </c>
      <c r="B354" t="s">
        <v>12</v>
      </c>
      <c r="C354" t="s">
        <v>23</v>
      </c>
      <c r="D354" t="s">
        <v>26</v>
      </c>
      <c r="E354" t="s">
        <v>35</v>
      </c>
      <c r="F354" s="4">
        <v>1</v>
      </c>
      <c r="G354" s="4">
        <v>20461.099999999999</v>
      </c>
      <c r="H354" s="4">
        <v>12061.59</v>
      </c>
      <c r="I354" s="8">
        <v>0.05</v>
      </c>
      <c r="J354" s="4">
        <v>8399.51</v>
      </c>
      <c r="K354" s="4" t="str">
        <f t="shared" si="20"/>
        <v>September</v>
      </c>
      <c r="L354">
        <f t="shared" si="21"/>
        <v>9</v>
      </c>
      <c r="M354" s="9">
        <f t="shared" si="22"/>
        <v>0.41051116508887603</v>
      </c>
      <c r="N354" s="9">
        <f t="shared" si="23"/>
        <v>1.8948019436763118E-4</v>
      </c>
    </row>
    <row r="355" spans="1:14" x14ac:dyDescent="0.35">
      <c r="A355" s="6">
        <v>44966</v>
      </c>
      <c r="B355" t="s">
        <v>10</v>
      </c>
      <c r="C355" t="s">
        <v>22</v>
      </c>
      <c r="D355" t="s">
        <v>26</v>
      </c>
      <c r="E355" t="s">
        <v>35</v>
      </c>
      <c r="F355" s="4">
        <v>5</v>
      </c>
      <c r="G355" s="4">
        <v>3411</v>
      </c>
      <c r="H355" s="4">
        <v>2112.1799999999998</v>
      </c>
      <c r="I355" s="8">
        <v>0.1</v>
      </c>
      <c r="J355" s="4">
        <v>1298.82</v>
      </c>
      <c r="K355" s="4" t="str">
        <f t="shared" si="20"/>
        <v>February</v>
      </c>
      <c r="L355">
        <f t="shared" si="21"/>
        <v>2</v>
      </c>
      <c r="M355" s="9">
        <f t="shared" si="22"/>
        <v>0.38077396657871593</v>
      </c>
      <c r="N355" s="9">
        <f t="shared" si="23"/>
        <v>3.1587595143369124E-5</v>
      </c>
    </row>
    <row r="356" spans="1:14" x14ac:dyDescent="0.35">
      <c r="A356" s="6">
        <v>45102</v>
      </c>
      <c r="B356" t="s">
        <v>10</v>
      </c>
      <c r="C356" t="s">
        <v>14</v>
      </c>
      <c r="D356" t="s">
        <v>26</v>
      </c>
      <c r="E356" t="s">
        <v>43</v>
      </c>
      <c r="F356" s="4">
        <v>7</v>
      </c>
      <c r="G356" s="4">
        <v>134685.6</v>
      </c>
      <c r="H356" s="4">
        <v>98745.93</v>
      </c>
      <c r="I356" s="8">
        <v>0.2</v>
      </c>
      <c r="J356" s="4">
        <v>35939.67</v>
      </c>
      <c r="K356" s="4" t="str">
        <f t="shared" si="20"/>
        <v>June</v>
      </c>
      <c r="L356">
        <f t="shared" si="21"/>
        <v>6</v>
      </c>
      <c r="M356" s="9">
        <f t="shared" si="22"/>
        <v>0.26684122133323829</v>
      </c>
      <c r="N356" s="9">
        <f t="shared" si="23"/>
        <v>1.247257169288114E-3</v>
      </c>
    </row>
    <row r="357" spans="1:14" x14ac:dyDescent="0.35">
      <c r="A357" s="6">
        <v>45228</v>
      </c>
      <c r="B357" t="s">
        <v>9</v>
      </c>
      <c r="C357" t="s">
        <v>13</v>
      </c>
      <c r="D357" t="s">
        <v>26</v>
      </c>
      <c r="E357" t="s">
        <v>34</v>
      </c>
      <c r="F357" s="4">
        <v>6</v>
      </c>
      <c r="G357" s="4">
        <v>38436</v>
      </c>
      <c r="H357" s="4">
        <v>28861.63</v>
      </c>
      <c r="I357" s="8">
        <v>0</v>
      </c>
      <c r="J357" s="4">
        <v>9574.3700000000008</v>
      </c>
      <c r="K357" s="4" t="str">
        <f t="shared" si="20"/>
        <v>October</v>
      </c>
      <c r="L357">
        <f t="shared" si="21"/>
        <v>10</v>
      </c>
      <c r="M357" s="9">
        <f t="shared" si="22"/>
        <v>0.24909902175044232</v>
      </c>
      <c r="N357" s="9">
        <f t="shared" si="23"/>
        <v>3.5593691202888764E-4</v>
      </c>
    </row>
    <row r="358" spans="1:14" x14ac:dyDescent="0.35">
      <c r="A358" s="6">
        <v>45149</v>
      </c>
      <c r="B358" t="s">
        <v>9</v>
      </c>
      <c r="C358" t="s">
        <v>13</v>
      </c>
      <c r="D358" t="s">
        <v>25</v>
      </c>
      <c r="E358" t="s">
        <v>33</v>
      </c>
      <c r="F358" s="4">
        <v>7</v>
      </c>
      <c r="G358" s="4">
        <v>10608.85</v>
      </c>
      <c r="H358" s="4">
        <v>8173.93</v>
      </c>
      <c r="I358" s="8">
        <v>0.15</v>
      </c>
      <c r="J358" s="4">
        <v>2434.92</v>
      </c>
      <c r="K358" s="4" t="str">
        <f t="shared" si="20"/>
        <v>August</v>
      </c>
      <c r="L358">
        <f t="shared" si="21"/>
        <v>8</v>
      </c>
      <c r="M358" s="9">
        <f t="shared" si="22"/>
        <v>0.22951780824500298</v>
      </c>
      <c r="N358" s="9">
        <f t="shared" si="23"/>
        <v>9.8243347621439922E-5</v>
      </c>
    </row>
    <row r="359" spans="1:14" x14ac:dyDescent="0.35">
      <c r="A359" s="6">
        <v>45207</v>
      </c>
      <c r="B359" t="s">
        <v>9</v>
      </c>
      <c r="C359" t="s">
        <v>15</v>
      </c>
      <c r="D359" t="s">
        <v>26</v>
      </c>
      <c r="E359" t="s">
        <v>35</v>
      </c>
      <c r="F359" s="4">
        <v>5</v>
      </c>
      <c r="G359" s="4">
        <v>46134</v>
      </c>
      <c r="H359" s="4">
        <v>31456.46</v>
      </c>
      <c r="I359" s="8">
        <v>0.1</v>
      </c>
      <c r="J359" s="4">
        <v>14677.54</v>
      </c>
      <c r="K359" s="4" t="str">
        <f t="shared" si="20"/>
        <v>October</v>
      </c>
      <c r="L359">
        <f t="shared" si="21"/>
        <v>10</v>
      </c>
      <c r="M359" s="9">
        <f t="shared" si="22"/>
        <v>0.31815017124030004</v>
      </c>
      <c r="N359" s="9">
        <f t="shared" si="23"/>
        <v>4.2722430792852282E-4</v>
      </c>
    </row>
    <row r="360" spans="1:14" x14ac:dyDescent="0.35">
      <c r="A360" s="6">
        <v>45191</v>
      </c>
      <c r="B360" t="s">
        <v>11</v>
      </c>
      <c r="C360" t="s">
        <v>18</v>
      </c>
      <c r="D360" t="s">
        <v>28</v>
      </c>
      <c r="E360" t="s">
        <v>36</v>
      </c>
      <c r="F360" s="4">
        <v>6</v>
      </c>
      <c r="G360" s="4">
        <v>127828.8</v>
      </c>
      <c r="H360" s="4">
        <v>76295</v>
      </c>
      <c r="I360" s="8">
        <v>0.1</v>
      </c>
      <c r="J360" s="4">
        <v>51533.8</v>
      </c>
      <c r="K360" s="4" t="str">
        <f t="shared" si="20"/>
        <v>September</v>
      </c>
      <c r="L360">
        <f t="shared" si="21"/>
        <v>9</v>
      </c>
      <c r="M360" s="9">
        <f t="shared" si="22"/>
        <v>0.40314702164144545</v>
      </c>
      <c r="N360" s="9">
        <f t="shared" si="23"/>
        <v>1.1837597132989457E-3</v>
      </c>
    </row>
    <row r="361" spans="1:14" x14ac:dyDescent="0.35">
      <c r="A361" s="6">
        <v>45290</v>
      </c>
      <c r="B361" t="s">
        <v>11</v>
      </c>
      <c r="C361" t="s">
        <v>18</v>
      </c>
      <c r="D361" t="s">
        <v>28</v>
      </c>
      <c r="E361" t="s">
        <v>36</v>
      </c>
      <c r="F361" s="4">
        <v>3</v>
      </c>
      <c r="G361" s="4">
        <v>50397</v>
      </c>
      <c r="H361" s="4">
        <v>33654.71</v>
      </c>
      <c r="I361" s="8">
        <v>0</v>
      </c>
      <c r="J361" s="4">
        <v>16742.29</v>
      </c>
      <c r="K361" s="4" t="str">
        <f t="shared" si="20"/>
        <v>December</v>
      </c>
      <c r="L361">
        <f t="shared" si="21"/>
        <v>12</v>
      </c>
      <c r="M361" s="9">
        <f t="shared" si="22"/>
        <v>0.33220806794055202</v>
      </c>
      <c r="N361" s="9">
        <f t="shared" si="23"/>
        <v>4.6670185647621631E-4</v>
      </c>
    </row>
    <row r="362" spans="1:14" x14ac:dyDescent="0.35">
      <c r="A362" s="6">
        <v>45212</v>
      </c>
      <c r="B362" t="s">
        <v>11</v>
      </c>
      <c r="C362" t="s">
        <v>16</v>
      </c>
      <c r="D362" t="s">
        <v>27</v>
      </c>
      <c r="E362" t="s">
        <v>31</v>
      </c>
      <c r="F362" s="4">
        <v>2</v>
      </c>
      <c r="G362" s="4">
        <v>83766.600000000006</v>
      </c>
      <c r="H362" s="4">
        <v>64496.55</v>
      </c>
      <c r="I362" s="8">
        <v>0.1</v>
      </c>
      <c r="J362" s="4">
        <v>19270.05</v>
      </c>
      <c r="K362" s="4" t="str">
        <f t="shared" si="20"/>
        <v>October</v>
      </c>
      <c r="L362">
        <f t="shared" si="21"/>
        <v>10</v>
      </c>
      <c r="M362" s="9">
        <f t="shared" si="22"/>
        <v>0.23004455236335244</v>
      </c>
      <c r="N362" s="9">
        <f t="shared" si="23"/>
        <v>7.7572132727544551E-4</v>
      </c>
    </row>
    <row r="363" spans="1:14" x14ac:dyDescent="0.35">
      <c r="A363" s="6">
        <v>45106</v>
      </c>
      <c r="B363" t="s">
        <v>10</v>
      </c>
      <c r="C363" t="s">
        <v>14</v>
      </c>
      <c r="D363" t="s">
        <v>26</v>
      </c>
      <c r="E363" t="s">
        <v>30</v>
      </c>
      <c r="F363" s="4">
        <v>2</v>
      </c>
      <c r="G363" s="4">
        <v>50530</v>
      </c>
      <c r="H363" s="4">
        <v>30821.71</v>
      </c>
      <c r="I363" s="8">
        <v>0</v>
      </c>
      <c r="J363" s="4">
        <v>19708.29</v>
      </c>
      <c r="K363" s="4" t="str">
        <f t="shared" si="20"/>
        <v>June</v>
      </c>
      <c r="L363">
        <f t="shared" si="21"/>
        <v>6</v>
      </c>
      <c r="M363" s="9">
        <f t="shared" si="22"/>
        <v>0.39003146645557096</v>
      </c>
      <c r="N363" s="9">
        <f t="shared" si="23"/>
        <v>4.6793350413205567E-4</v>
      </c>
    </row>
    <row r="364" spans="1:14" x14ac:dyDescent="0.35">
      <c r="A364" s="6">
        <v>45102</v>
      </c>
      <c r="B364" t="s">
        <v>10</v>
      </c>
      <c r="C364" t="s">
        <v>14</v>
      </c>
      <c r="D364" t="s">
        <v>25</v>
      </c>
      <c r="E364" t="s">
        <v>29</v>
      </c>
      <c r="F364" s="4">
        <v>2</v>
      </c>
      <c r="G364" s="4">
        <v>10679.4</v>
      </c>
      <c r="H364" s="4">
        <v>7612.14</v>
      </c>
      <c r="I364" s="8">
        <v>0.1</v>
      </c>
      <c r="J364" s="4">
        <v>3067.26</v>
      </c>
      <c r="K364" s="4" t="str">
        <f t="shared" si="20"/>
        <v>June</v>
      </c>
      <c r="L364">
        <f t="shared" si="21"/>
        <v>6</v>
      </c>
      <c r="M364" s="9">
        <f t="shared" si="22"/>
        <v>0.28721276476206531</v>
      </c>
      <c r="N364" s="9">
        <f t="shared" si="23"/>
        <v>9.8896676509556216E-5</v>
      </c>
    </row>
    <row r="365" spans="1:14" x14ac:dyDescent="0.35">
      <c r="A365" s="6">
        <v>45138</v>
      </c>
      <c r="B365" t="s">
        <v>11</v>
      </c>
      <c r="C365" t="s">
        <v>18</v>
      </c>
      <c r="D365" t="s">
        <v>27</v>
      </c>
      <c r="E365" t="s">
        <v>38</v>
      </c>
      <c r="F365" s="4">
        <v>4</v>
      </c>
      <c r="G365" s="4">
        <v>66808.800000000003</v>
      </c>
      <c r="H365" s="4">
        <v>47336.41</v>
      </c>
      <c r="I365" s="8">
        <v>0.1</v>
      </c>
      <c r="J365" s="4">
        <v>19472.39</v>
      </c>
      <c r="K365" s="4" t="str">
        <f t="shared" si="20"/>
        <v>July</v>
      </c>
      <c r="L365">
        <f t="shared" si="21"/>
        <v>7</v>
      </c>
      <c r="M365" s="9">
        <f t="shared" si="22"/>
        <v>0.29146444779729613</v>
      </c>
      <c r="N365" s="9">
        <f t="shared" si="23"/>
        <v>6.1868347300331845E-4</v>
      </c>
    </row>
    <row r="366" spans="1:14" x14ac:dyDescent="0.35">
      <c r="A366" s="6">
        <v>44927</v>
      </c>
      <c r="B366" t="s">
        <v>12</v>
      </c>
      <c r="C366" t="s">
        <v>24</v>
      </c>
      <c r="D366" t="s">
        <v>28</v>
      </c>
      <c r="E366" t="s">
        <v>42</v>
      </c>
      <c r="F366" s="4">
        <v>4</v>
      </c>
      <c r="G366" s="4">
        <v>9832</v>
      </c>
      <c r="H366" s="4">
        <v>7018.28</v>
      </c>
      <c r="I366" s="8">
        <v>0</v>
      </c>
      <c r="J366" s="4">
        <v>2813.72</v>
      </c>
      <c r="K366" s="4" t="str">
        <f t="shared" si="20"/>
        <v>January</v>
      </c>
      <c r="L366">
        <f t="shared" si="21"/>
        <v>1</v>
      </c>
      <c r="M366" s="9">
        <f t="shared" si="22"/>
        <v>0.28617982099267697</v>
      </c>
      <c r="N366" s="9">
        <f t="shared" si="23"/>
        <v>9.1049321445208222E-5</v>
      </c>
    </row>
    <row r="367" spans="1:14" x14ac:dyDescent="0.35">
      <c r="A367" s="6">
        <v>45229</v>
      </c>
      <c r="B367" t="s">
        <v>11</v>
      </c>
      <c r="C367" t="s">
        <v>17</v>
      </c>
      <c r="D367" t="s">
        <v>25</v>
      </c>
      <c r="E367" t="s">
        <v>37</v>
      </c>
      <c r="F367" s="4">
        <v>7</v>
      </c>
      <c r="G367" s="4">
        <v>61249.3</v>
      </c>
      <c r="H367" s="4">
        <v>46953.51</v>
      </c>
      <c r="I367" s="8">
        <v>0.15</v>
      </c>
      <c r="J367" s="4">
        <v>14295.79</v>
      </c>
      <c r="K367" s="4" t="str">
        <f t="shared" si="20"/>
        <v>October</v>
      </c>
      <c r="L367">
        <f t="shared" si="21"/>
        <v>10</v>
      </c>
      <c r="M367" s="9">
        <f t="shared" si="22"/>
        <v>0.23340332052774482</v>
      </c>
      <c r="N367" s="9">
        <f t="shared" si="23"/>
        <v>5.6719967493836377E-4</v>
      </c>
    </row>
    <row r="368" spans="1:14" x14ac:dyDescent="0.35">
      <c r="A368" s="6">
        <v>45068</v>
      </c>
      <c r="B368" t="s">
        <v>10</v>
      </c>
      <c r="C368" t="s">
        <v>22</v>
      </c>
      <c r="D368" t="s">
        <v>25</v>
      </c>
      <c r="E368" t="s">
        <v>33</v>
      </c>
      <c r="F368" s="4">
        <v>3</v>
      </c>
      <c r="G368" s="4">
        <v>24067.200000000001</v>
      </c>
      <c r="H368" s="4">
        <v>15693.66</v>
      </c>
      <c r="I368" s="8">
        <v>0.2</v>
      </c>
      <c r="J368" s="4">
        <v>8373.5400000000009</v>
      </c>
      <c r="K368" s="4" t="str">
        <f t="shared" si="20"/>
        <v>May</v>
      </c>
      <c r="L368">
        <f t="shared" si="21"/>
        <v>5</v>
      </c>
      <c r="M368" s="9">
        <f t="shared" si="22"/>
        <v>0.3479233147187874</v>
      </c>
      <c r="N368" s="9">
        <f t="shared" si="23"/>
        <v>2.2287451475652109E-4</v>
      </c>
    </row>
    <row r="369" spans="1:14" x14ac:dyDescent="0.35">
      <c r="A369" s="6">
        <v>45060</v>
      </c>
      <c r="B369" t="s">
        <v>11</v>
      </c>
      <c r="C369" t="s">
        <v>16</v>
      </c>
      <c r="D369" t="s">
        <v>25</v>
      </c>
      <c r="E369" t="s">
        <v>33</v>
      </c>
      <c r="F369" s="4">
        <v>3</v>
      </c>
      <c r="G369" s="4">
        <v>85545.600000000006</v>
      </c>
      <c r="H369" s="4">
        <v>60967.68</v>
      </c>
      <c r="I369" s="8">
        <v>0.05</v>
      </c>
      <c r="J369" s="4">
        <v>24577.919999999998</v>
      </c>
      <c r="K369" s="4" t="str">
        <f t="shared" si="20"/>
        <v>May</v>
      </c>
      <c r="L369">
        <f t="shared" si="21"/>
        <v>5</v>
      </c>
      <c r="M369" s="9">
        <f t="shared" si="22"/>
        <v>0.28730782179328918</v>
      </c>
      <c r="N369" s="9">
        <f t="shared" si="23"/>
        <v>7.9219577223588341E-4</v>
      </c>
    </row>
    <row r="370" spans="1:14" x14ac:dyDescent="0.35">
      <c r="A370" s="6">
        <v>45116</v>
      </c>
      <c r="B370" t="s">
        <v>9</v>
      </c>
      <c r="C370" t="s">
        <v>15</v>
      </c>
      <c r="D370" t="s">
        <v>25</v>
      </c>
      <c r="E370" t="s">
        <v>29</v>
      </c>
      <c r="F370" s="4">
        <v>3</v>
      </c>
      <c r="G370" s="4">
        <v>46565.55</v>
      </c>
      <c r="H370" s="4">
        <v>30053.54</v>
      </c>
      <c r="I370" s="8">
        <v>0.15</v>
      </c>
      <c r="J370" s="4">
        <v>16512.009999999998</v>
      </c>
      <c r="K370" s="4" t="str">
        <f t="shared" si="20"/>
        <v>July</v>
      </c>
      <c r="L370">
        <f t="shared" si="21"/>
        <v>7</v>
      </c>
      <c r="M370" s="9">
        <f t="shared" si="22"/>
        <v>0.3545971216918945</v>
      </c>
      <c r="N370" s="9">
        <f t="shared" si="23"/>
        <v>4.3122068045391745E-4</v>
      </c>
    </row>
    <row r="371" spans="1:14" x14ac:dyDescent="0.35">
      <c r="A371" s="6">
        <v>45270</v>
      </c>
      <c r="B371" t="s">
        <v>9</v>
      </c>
      <c r="C371" t="s">
        <v>15</v>
      </c>
      <c r="D371" t="s">
        <v>28</v>
      </c>
      <c r="E371" t="s">
        <v>42</v>
      </c>
      <c r="F371" s="4">
        <v>6</v>
      </c>
      <c r="G371" s="4">
        <v>114801</v>
      </c>
      <c r="H371" s="4">
        <v>63657.16</v>
      </c>
      <c r="I371" s="8">
        <v>0.15</v>
      </c>
      <c r="J371" s="4">
        <v>51143.839999999997</v>
      </c>
      <c r="K371" s="4" t="str">
        <f t="shared" si="20"/>
        <v>December</v>
      </c>
      <c r="L371">
        <f t="shared" si="21"/>
        <v>12</v>
      </c>
      <c r="M371" s="9">
        <f t="shared" si="22"/>
        <v>0.44549995209100962</v>
      </c>
      <c r="N371" s="9">
        <f t="shared" si="23"/>
        <v>1.0631156581805685E-3</v>
      </c>
    </row>
    <row r="372" spans="1:14" x14ac:dyDescent="0.35">
      <c r="A372" s="6">
        <v>45201</v>
      </c>
      <c r="B372" t="s">
        <v>10</v>
      </c>
      <c r="C372" t="s">
        <v>19</v>
      </c>
      <c r="D372" t="s">
        <v>28</v>
      </c>
      <c r="E372" t="s">
        <v>42</v>
      </c>
      <c r="F372" s="4">
        <v>6</v>
      </c>
      <c r="G372" s="4">
        <v>113106</v>
      </c>
      <c r="H372" s="4">
        <v>70471.210000000006</v>
      </c>
      <c r="I372" s="8">
        <v>0</v>
      </c>
      <c r="J372" s="4">
        <v>42634.79</v>
      </c>
      <c r="K372" s="4" t="str">
        <f t="shared" si="20"/>
        <v>October</v>
      </c>
      <c r="L372">
        <f t="shared" si="21"/>
        <v>10</v>
      </c>
      <c r="M372" s="9">
        <f t="shared" si="22"/>
        <v>0.37694543171891853</v>
      </c>
      <c r="N372" s="9">
        <f t="shared" si="23"/>
        <v>1.0474190959501345E-3</v>
      </c>
    </row>
    <row r="373" spans="1:14" x14ac:dyDescent="0.35">
      <c r="A373" s="6">
        <v>45047</v>
      </c>
      <c r="B373" t="s">
        <v>12</v>
      </c>
      <c r="C373" t="s">
        <v>23</v>
      </c>
      <c r="D373" t="s">
        <v>25</v>
      </c>
      <c r="E373" t="s">
        <v>32</v>
      </c>
      <c r="F373" s="4">
        <v>7</v>
      </c>
      <c r="G373" s="4">
        <v>306810</v>
      </c>
      <c r="H373" s="4">
        <v>216932.93</v>
      </c>
      <c r="I373" s="8">
        <v>0.1</v>
      </c>
      <c r="J373" s="4">
        <v>89877.07</v>
      </c>
      <c r="K373" s="4" t="str">
        <f t="shared" si="20"/>
        <v>May</v>
      </c>
      <c r="L373">
        <f t="shared" si="21"/>
        <v>5</v>
      </c>
      <c r="M373" s="9">
        <f t="shared" si="22"/>
        <v>0.29294048433884168</v>
      </c>
      <c r="N373" s="9">
        <f t="shared" si="23"/>
        <v>2.8412166713389277E-3</v>
      </c>
    </row>
    <row r="374" spans="1:14" x14ac:dyDescent="0.35">
      <c r="A374" s="6">
        <v>45212</v>
      </c>
      <c r="B374" t="s">
        <v>11</v>
      </c>
      <c r="C374" t="s">
        <v>17</v>
      </c>
      <c r="D374" t="s">
        <v>25</v>
      </c>
      <c r="E374" t="s">
        <v>37</v>
      </c>
      <c r="F374" s="4">
        <v>6</v>
      </c>
      <c r="G374" s="4">
        <v>166694.39999999999</v>
      </c>
      <c r="H374" s="4">
        <v>94529.93</v>
      </c>
      <c r="I374" s="8">
        <v>0.2</v>
      </c>
      <c r="J374" s="4">
        <v>72164.47</v>
      </c>
      <c r="K374" s="4" t="str">
        <f t="shared" si="20"/>
        <v>October</v>
      </c>
      <c r="L374">
        <f t="shared" si="21"/>
        <v>10</v>
      </c>
      <c r="M374" s="9">
        <f t="shared" si="22"/>
        <v>0.43291478298011216</v>
      </c>
      <c r="N374" s="9">
        <f t="shared" si="23"/>
        <v>1.5436749398612813E-3</v>
      </c>
    </row>
    <row r="375" spans="1:14" x14ac:dyDescent="0.35">
      <c r="A375" s="6">
        <v>45260</v>
      </c>
      <c r="B375" t="s">
        <v>12</v>
      </c>
      <c r="C375" t="s">
        <v>23</v>
      </c>
      <c r="D375" t="s">
        <v>26</v>
      </c>
      <c r="E375" t="s">
        <v>30</v>
      </c>
      <c r="F375" s="4">
        <v>1</v>
      </c>
      <c r="G375" s="4">
        <v>42509.7</v>
      </c>
      <c r="H375" s="4">
        <v>24169.32</v>
      </c>
      <c r="I375" s="8">
        <v>0.1</v>
      </c>
      <c r="J375" s="4">
        <v>18340.38</v>
      </c>
      <c r="K375" s="4" t="str">
        <f t="shared" si="20"/>
        <v>November</v>
      </c>
      <c r="L375">
        <f t="shared" si="21"/>
        <v>11</v>
      </c>
      <c r="M375" s="9">
        <f t="shared" si="22"/>
        <v>0.43143988313255566</v>
      </c>
      <c r="N375" s="9">
        <f t="shared" si="23"/>
        <v>3.9366144628146541E-4</v>
      </c>
    </row>
    <row r="376" spans="1:14" x14ac:dyDescent="0.35">
      <c r="A376" s="6">
        <v>45012</v>
      </c>
      <c r="B376" t="s">
        <v>10</v>
      </c>
      <c r="C376" t="s">
        <v>14</v>
      </c>
      <c r="D376" t="s">
        <v>26</v>
      </c>
      <c r="E376" t="s">
        <v>35</v>
      </c>
      <c r="F376" s="4">
        <v>4</v>
      </c>
      <c r="G376" s="4">
        <v>61396</v>
      </c>
      <c r="H376" s="4">
        <v>38839.230000000003</v>
      </c>
      <c r="I376" s="8">
        <v>0</v>
      </c>
      <c r="J376" s="4">
        <v>22556.77</v>
      </c>
      <c r="K376" s="4" t="str">
        <f t="shared" si="20"/>
        <v>March</v>
      </c>
      <c r="L376">
        <f t="shared" si="21"/>
        <v>3</v>
      </c>
      <c r="M376" s="9">
        <f t="shared" si="22"/>
        <v>0.36739803896019285</v>
      </c>
      <c r="N376" s="9">
        <f t="shared" si="23"/>
        <v>5.6855819156326323E-4</v>
      </c>
    </row>
    <row r="377" spans="1:14" x14ac:dyDescent="0.35">
      <c r="A377" s="6">
        <v>45194</v>
      </c>
      <c r="B377" t="s">
        <v>12</v>
      </c>
      <c r="C377" t="s">
        <v>21</v>
      </c>
      <c r="D377" t="s">
        <v>25</v>
      </c>
      <c r="E377" t="s">
        <v>29</v>
      </c>
      <c r="F377" s="4">
        <v>5</v>
      </c>
      <c r="G377" s="4">
        <v>48885</v>
      </c>
      <c r="H377" s="4">
        <v>30373.35</v>
      </c>
      <c r="I377" s="8">
        <v>0</v>
      </c>
      <c r="J377" s="4">
        <v>18511.650000000001</v>
      </c>
      <c r="K377" s="4" t="str">
        <f t="shared" si="20"/>
        <v>September</v>
      </c>
      <c r="L377">
        <f t="shared" si="21"/>
        <v>9</v>
      </c>
      <c r="M377" s="9">
        <f t="shared" si="22"/>
        <v>0.37867750843817127</v>
      </c>
      <c r="N377" s="9">
        <f t="shared" si="23"/>
        <v>4.5269996733614769E-4</v>
      </c>
    </row>
    <row r="378" spans="1:14" x14ac:dyDescent="0.35">
      <c r="A378" s="6">
        <v>45202</v>
      </c>
      <c r="B378" t="s">
        <v>9</v>
      </c>
      <c r="C378" t="s">
        <v>15</v>
      </c>
      <c r="D378" t="s">
        <v>26</v>
      </c>
      <c r="E378" t="s">
        <v>34</v>
      </c>
      <c r="F378" s="4">
        <v>2</v>
      </c>
      <c r="G378" s="4">
        <v>3187.2</v>
      </c>
      <c r="H378" s="4">
        <v>1803.67</v>
      </c>
      <c r="I378" s="8">
        <v>0.2</v>
      </c>
      <c r="J378" s="4">
        <v>1383.53</v>
      </c>
      <c r="K378" s="4" t="str">
        <f t="shared" si="20"/>
        <v>October</v>
      </c>
      <c r="L378">
        <f t="shared" si="21"/>
        <v>10</v>
      </c>
      <c r="M378" s="9">
        <f t="shared" si="22"/>
        <v>0.43408948293172694</v>
      </c>
      <c r="N378" s="9">
        <f t="shared" si="23"/>
        <v>2.9515093298430394E-5</v>
      </c>
    </row>
    <row r="379" spans="1:14" x14ac:dyDescent="0.35">
      <c r="A379" s="6">
        <v>45250</v>
      </c>
      <c r="B379" t="s">
        <v>12</v>
      </c>
      <c r="C379" t="s">
        <v>21</v>
      </c>
      <c r="D379" t="s">
        <v>26</v>
      </c>
      <c r="E379" t="s">
        <v>43</v>
      </c>
      <c r="F379" s="4">
        <v>5</v>
      </c>
      <c r="G379" s="4">
        <v>12720</v>
      </c>
      <c r="H379" s="4">
        <v>9888.61</v>
      </c>
      <c r="I379" s="8">
        <v>0</v>
      </c>
      <c r="J379" s="4">
        <v>2831.39</v>
      </c>
      <c r="K379" s="4" t="str">
        <f t="shared" si="20"/>
        <v>November</v>
      </c>
      <c r="L379">
        <f t="shared" si="21"/>
        <v>11</v>
      </c>
      <c r="M379" s="9">
        <f t="shared" si="22"/>
        <v>0.22259355345911949</v>
      </c>
      <c r="N379" s="9">
        <f t="shared" si="23"/>
        <v>1.1779367054343457E-4</v>
      </c>
    </row>
    <row r="380" spans="1:14" x14ac:dyDescent="0.35">
      <c r="A380" s="6">
        <v>45258</v>
      </c>
      <c r="B380" t="s">
        <v>9</v>
      </c>
      <c r="C380" t="s">
        <v>13</v>
      </c>
      <c r="D380" t="s">
        <v>28</v>
      </c>
      <c r="E380" t="s">
        <v>44</v>
      </c>
      <c r="F380" s="4">
        <v>1</v>
      </c>
      <c r="G380" s="4">
        <v>37269.599999999999</v>
      </c>
      <c r="H380" s="4">
        <v>26968.75</v>
      </c>
      <c r="I380" s="8">
        <v>0.2</v>
      </c>
      <c r="J380" s="4">
        <v>10300.85</v>
      </c>
      <c r="K380" s="4" t="str">
        <f t="shared" si="20"/>
        <v>November</v>
      </c>
      <c r="L380">
        <f t="shared" si="21"/>
        <v>11</v>
      </c>
      <c r="M380" s="9">
        <f t="shared" si="22"/>
        <v>0.27638745787451435</v>
      </c>
      <c r="N380" s="9">
        <f t="shared" si="23"/>
        <v>3.4513545469226327E-4</v>
      </c>
    </row>
    <row r="381" spans="1:14" x14ac:dyDescent="0.35">
      <c r="A381" s="6">
        <v>45158</v>
      </c>
      <c r="B381" t="s">
        <v>10</v>
      </c>
      <c r="C381" t="s">
        <v>19</v>
      </c>
      <c r="D381" t="s">
        <v>25</v>
      </c>
      <c r="E381" t="s">
        <v>29</v>
      </c>
      <c r="F381" s="4">
        <v>1</v>
      </c>
      <c r="G381" s="4">
        <v>43903.3</v>
      </c>
      <c r="H381" s="4">
        <v>25955.9</v>
      </c>
      <c r="I381" s="8">
        <v>0.05</v>
      </c>
      <c r="J381" s="4">
        <v>17947.400000000001</v>
      </c>
      <c r="K381" s="4" t="str">
        <f t="shared" si="20"/>
        <v>August</v>
      </c>
      <c r="L381">
        <f t="shared" si="21"/>
        <v>8</v>
      </c>
      <c r="M381" s="9">
        <f t="shared" si="22"/>
        <v>0.4087938719868438</v>
      </c>
      <c r="N381" s="9">
        <f t="shared" si="23"/>
        <v>4.0656689119257636E-4</v>
      </c>
    </row>
    <row r="382" spans="1:14" x14ac:dyDescent="0.35">
      <c r="A382" s="6">
        <v>45274</v>
      </c>
      <c r="B382" t="s">
        <v>12</v>
      </c>
      <c r="C382" t="s">
        <v>21</v>
      </c>
      <c r="D382" t="s">
        <v>28</v>
      </c>
      <c r="E382" t="s">
        <v>44</v>
      </c>
      <c r="F382" s="4">
        <v>1</v>
      </c>
      <c r="G382" s="4">
        <v>11021.1</v>
      </c>
      <c r="H382" s="4">
        <v>7925.35</v>
      </c>
      <c r="I382" s="8">
        <v>0.15</v>
      </c>
      <c r="J382" s="4">
        <v>3095.75</v>
      </c>
      <c r="K382" s="4" t="str">
        <f t="shared" si="20"/>
        <v>December</v>
      </c>
      <c r="L382">
        <f t="shared" si="21"/>
        <v>12</v>
      </c>
      <c r="M382" s="9">
        <f t="shared" si="22"/>
        <v>0.2808930143089165</v>
      </c>
      <c r="N382" s="9">
        <f t="shared" si="23"/>
        <v>1.0206099232910744E-4</v>
      </c>
    </row>
    <row r="383" spans="1:14" x14ac:dyDescent="0.35">
      <c r="A383" s="6">
        <v>45088</v>
      </c>
      <c r="B383" t="s">
        <v>11</v>
      </c>
      <c r="C383" t="s">
        <v>18</v>
      </c>
      <c r="D383" t="s">
        <v>26</v>
      </c>
      <c r="E383" t="s">
        <v>43</v>
      </c>
      <c r="F383" s="4">
        <v>3</v>
      </c>
      <c r="G383" s="4">
        <v>29562.15</v>
      </c>
      <c r="H383" s="4">
        <v>23284.12</v>
      </c>
      <c r="I383" s="8">
        <v>0.15</v>
      </c>
      <c r="J383" s="4">
        <v>6278.03</v>
      </c>
      <c r="K383" s="4" t="str">
        <f t="shared" si="20"/>
        <v>June</v>
      </c>
      <c r="L383">
        <f t="shared" si="21"/>
        <v>6</v>
      </c>
      <c r="M383" s="9">
        <f t="shared" si="22"/>
        <v>0.21236716544635623</v>
      </c>
      <c r="N383" s="9">
        <f t="shared" si="23"/>
        <v>2.7376054698550269E-4</v>
      </c>
    </row>
    <row r="384" spans="1:14" x14ac:dyDescent="0.35">
      <c r="A384" s="6">
        <v>44987</v>
      </c>
      <c r="B384" t="s">
        <v>9</v>
      </c>
      <c r="C384" t="s">
        <v>15</v>
      </c>
      <c r="D384" t="s">
        <v>27</v>
      </c>
      <c r="E384" t="s">
        <v>38</v>
      </c>
      <c r="F384" s="4">
        <v>7</v>
      </c>
      <c r="G384" s="4">
        <v>146223</v>
      </c>
      <c r="H384" s="4">
        <v>80529.429999999993</v>
      </c>
      <c r="I384" s="8">
        <v>0</v>
      </c>
      <c r="J384" s="4">
        <v>65693.570000000007</v>
      </c>
      <c r="K384" s="4" t="str">
        <f t="shared" si="20"/>
        <v>March</v>
      </c>
      <c r="L384">
        <f t="shared" si="21"/>
        <v>3</v>
      </c>
      <c r="M384" s="9">
        <f t="shared" si="22"/>
        <v>0.44926974552566973</v>
      </c>
      <c r="N384" s="9">
        <f t="shared" si="23"/>
        <v>1.3540993622541378E-3</v>
      </c>
    </row>
    <row r="385" spans="1:14" x14ac:dyDescent="0.35">
      <c r="A385" s="6">
        <v>45019</v>
      </c>
      <c r="B385" t="s">
        <v>11</v>
      </c>
      <c r="C385" t="s">
        <v>18</v>
      </c>
      <c r="D385" t="s">
        <v>28</v>
      </c>
      <c r="E385" t="s">
        <v>42</v>
      </c>
      <c r="F385" s="4">
        <v>3</v>
      </c>
      <c r="G385" s="4">
        <v>57954.75</v>
      </c>
      <c r="H385" s="4">
        <v>45951.35</v>
      </c>
      <c r="I385" s="8">
        <v>0.05</v>
      </c>
      <c r="J385" s="4">
        <v>12003.4</v>
      </c>
      <c r="K385" s="4" t="str">
        <f t="shared" si="20"/>
        <v>April</v>
      </c>
      <c r="L385">
        <f t="shared" si="21"/>
        <v>4</v>
      </c>
      <c r="M385" s="9">
        <f t="shared" si="22"/>
        <v>0.20711675919575184</v>
      </c>
      <c r="N385" s="9">
        <f t="shared" si="23"/>
        <v>5.3669046603200589E-4</v>
      </c>
    </row>
    <row r="386" spans="1:14" x14ac:dyDescent="0.35">
      <c r="A386" s="6">
        <v>45103</v>
      </c>
      <c r="B386" t="s">
        <v>12</v>
      </c>
      <c r="C386" t="s">
        <v>23</v>
      </c>
      <c r="D386" t="s">
        <v>25</v>
      </c>
      <c r="E386" t="s">
        <v>37</v>
      </c>
      <c r="F386" s="4">
        <v>6</v>
      </c>
      <c r="G386" s="4">
        <v>28368</v>
      </c>
      <c r="H386" s="4">
        <v>18966.05</v>
      </c>
      <c r="I386" s="8">
        <v>0.2</v>
      </c>
      <c r="J386" s="4">
        <v>9401.9500000000007</v>
      </c>
      <c r="K386" s="4" t="str">
        <f t="shared" si="20"/>
        <v>June</v>
      </c>
      <c r="L386">
        <f t="shared" si="21"/>
        <v>6</v>
      </c>
      <c r="M386" s="9">
        <f t="shared" si="22"/>
        <v>0.33142801748448958</v>
      </c>
      <c r="N386" s="9">
        <f t="shared" si="23"/>
        <v>2.627021105327163E-4</v>
      </c>
    </row>
    <row r="387" spans="1:14" x14ac:dyDescent="0.35">
      <c r="A387" s="6">
        <v>45279</v>
      </c>
      <c r="B387" t="s">
        <v>12</v>
      </c>
      <c r="C387" t="s">
        <v>23</v>
      </c>
      <c r="D387" t="s">
        <v>28</v>
      </c>
      <c r="E387" t="s">
        <v>39</v>
      </c>
      <c r="F387" s="4">
        <v>6</v>
      </c>
      <c r="G387" s="4">
        <v>97432.2</v>
      </c>
      <c r="H387" s="4">
        <v>74144.070000000007</v>
      </c>
      <c r="I387" s="8">
        <v>0.1</v>
      </c>
      <c r="J387" s="4">
        <v>23288.13</v>
      </c>
      <c r="K387" s="4" t="str">
        <f t="shared" ref="K387:K450" si="24">TEXT(A387,"mmmm")</f>
        <v>December</v>
      </c>
      <c r="L387">
        <f t="shared" ref="L387:L450" si="25">MONTH(A387)</f>
        <v>12</v>
      </c>
      <c r="M387" s="9">
        <f t="shared" ref="M387:M450" si="26">J387/G387</f>
        <v>0.23901882539858488</v>
      </c>
      <c r="N387" s="9">
        <f t="shared" ref="N387:N450" si="27">G387/SUM(G:G)</f>
        <v>9.0227173483663713E-4</v>
      </c>
    </row>
    <row r="388" spans="1:14" x14ac:dyDescent="0.35">
      <c r="A388" s="6">
        <v>45159</v>
      </c>
      <c r="B388" t="s">
        <v>10</v>
      </c>
      <c r="C388" t="s">
        <v>22</v>
      </c>
      <c r="D388" t="s">
        <v>27</v>
      </c>
      <c r="E388" t="s">
        <v>38</v>
      </c>
      <c r="F388" s="4">
        <v>1</v>
      </c>
      <c r="G388" s="4">
        <v>16707.650000000001</v>
      </c>
      <c r="H388" s="4">
        <v>10415.08</v>
      </c>
      <c r="I388" s="8">
        <v>0.05</v>
      </c>
      <c r="J388" s="4">
        <v>6292.57</v>
      </c>
      <c r="K388" s="4" t="str">
        <f t="shared" si="24"/>
        <v>August</v>
      </c>
      <c r="L388">
        <f t="shared" si="25"/>
        <v>8</v>
      </c>
      <c r="M388" s="9">
        <f t="shared" si="26"/>
        <v>0.3766280715720044</v>
      </c>
      <c r="N388" s="9">
        <f t="shared" si="27"/>
        <v>1.5472133802319298E-4</v>
      </c>
    </row>
    <row r="389" spans="1:14" x14ac:dyDescent="0.35">
      <c r="A389" s="6">
        <v>45109</v>
      </c>
      <c r="B389" t="s">
        <v>12</v>
      </c>
      <c r="C389" t="s">
        <v>23</v>
      </c>
      <c r="D389" t="s">
        <v>27</v>
      </c>
      <c r="E389" t="s">
        <v>38</v>
      </c>
      <c r="F389" s="4">
        <v>1</v>
      </c>
      <c r="G389" s="4">
        <v>27298.400000000001</v>
      </c>
      <c r="H389" s="4">
        <v>17370.13</v>
      </c>
      <c r="I389" s="8">
        <v>0.2</v>
      </c>
      <c r="J389" s="4">
        <v>9928.27</v>
      </c>
      <c r="K389" s="4" t="str">
        <f t="shared" si="24"/>
        <v>July</v>
      </c>
      <c r="L389">
        <f t="shared" si="25"/>
        <v>7</v>
      </c>
      <c r="M389" s="9">
        <f t="shared" si="26"/>
        <v>0.36369420918442108</v>
      </c>
      <c r="N389" s="9">
        <f t="shared" si="27"/>
        <v>2.5279707043733443E-4</v>
      </c>
    </row>
    <row r="390" spans="1:14" x14ac:dyDescent="0.35">
      <c r="A390" s="6">
        <v>45053</v>
      </c>
      <c r="B390" t="s">
        <v>12</v>
      </c>
      <c r="C390" t="s">
        <v>21</v>
      </c>
      <c r="D390" t="s">
        <v>27</v>
      </c>
      <c r="E390" t="s">
        <v>31</v>
      </c>
      <c r="F390" s="4">
        <v>3</v>
      </c>
      <c r="G390" s="4">
        <v>93919.5</v>
      </c>
      <c r="H390" s="4">
        <v>62235.69</v>
      </c>
      <c r="I390" s="8">
        <v>0.1</v>
      </c>
      <c r="J390" s="4">
        <v>31683.81</v>
      </c>
      <c r="K390" s="4" t="str">
        <f t="shared" si="24"/>
        <v>May</v>
      </c>
      <c r="L390">
        <f t="shared" si="25"/>
        <v>5</v>
      </c>
      <c r="M390" s="9">
        <f t="shared" si="26"/>
        <v>0.33735070991647104</v>
      </c>
      <c r="N390" s="9">
        <f t="shared" si="27"/>
        <v>8.6974234595944204E-4</v>
      </c>
    </row>
    <row r="391" spans="1:14" x14ac:dyDescent="0.35">
      <c r="A391" s="6">
        <v>45035</v>
      </c>
      <c r="B391" t="s">
        <v>10</v>
      </c>
      <c r="C391" t="s">
        <v>14</v>
      </c>
      <c r="D391" t="s">
        <v>27</v>
      </c>
      <c r="E391" t="s">
        <v>31</v>
      </c>
      <c r="F391" s="4">
        <v>4</v>
      </c>
      <c r="G391" s="4">
        <v>29614</v>
      </c>
      <c r="H391" s="4">
        <v>22819.5</v>
      </c>
      <c r="I391" s="8">
        <v>0.15</v>
      </c>
      <c r="J391" s="4">
        <v>6794.5</v>
      </c>
      <c r="K391" s="4" t="str">
        <f t="shared" si="24"/>
        <v>April</v>
      </c>
      <c r="L391">
        <f t="shared" si="25"/>
        <v>4</v>
      </c>
      <c r="M391" s="9">
        <f t="shared" si="26"/>
        <v>0.22943540217464711</v>
      </c>
      <c r="N391" s="9">
        <f t="shared" si="27"/>
        <v>2.742407043611062E-4</v>
      </c>
    </row>
    <row r="392" spans="1:14" x14ac:dyDescent="0.35">
      <c r="A392" s="6">
        <v>45079</v>
      </c>
      <c r="B392" t="s">
        <v>11</v>
      </c>
      <c r="C392" t="s">
        <v>16</v>
      </c>
      <c r="D392" t="s">
        <v>26</v>
      </c>
      <c r="E392" t="s">
        <v>43</v>
      </c>
      <c r="F392" s="4">
        <v>5</v>
      </c>
      <c r="G392" s="4">
        <v>162711.25</v>
      </c>
      <c r="H392" s="4">
        <v>118835.9</v>
      </c>
      <c r="I392" s="8">
        <v>0.05</v>
      </c>
      <c r="J392" s="4">
        <v>43875.35</v>
      </c>
      <c r="K392" s="4" t="str">
        <f t="shared" si="24"/>
        <v>June</v>
      </c>
      <c r="L392">
        <f t="shared" si="25"/>
        <v>6</v>
      </c>
      <c r="M392" s="9">
        <f t="shared" si="26"/>
        <v>0.26965160675736927</v>
      </c>
      <c r="N392" s="9">
        <f t="shared" si="27"/>
        <v>1.5067889446706304E-3</v>
      </c>
    </row>
    <row r="393" spans="1:14" x14ac:dyDescent="0.35">
      <c r="A393" s="6">
        <v>45264</v>
      </c>
      <c r="B393" t="s">
        <v>9</v>
      </c>
      <c r="C393" t="s">
        <v>20</v>
      </c>
      <c r="D393" t="s">
        <v>25</v>
      </c>
      <c r="E393" t="s">
        <v>32</v>
      </c>
      <c r="F393" s="4">
        <v>5</v>
      </c>
      <c r="G393" s="4">
        <v>6130</v>
      </c>
      <c r="H393" s="4">
        <v>4296.82</v>
      </c>
      <c r="I393" s="8">
        <v>0</v>
      </c>
      <c r="J393" s="4">
        <v>1833.18</v>
      </c>
      <c r="K393" s="4" t="str">
        <f t="shared" si="24"/>
        <v>December</v>
      </c>
      <c r="L393">
        <f t="shared" si="25"/>
        <v>12</v>
      </c>
      <c r="M393" s="9">
        <f t="shared" si="26"/>
        <v>0.29905057096247961</v>
      </c>
      <c r="N393" s="9">
        <f t="shared" si="27"/>
        <v>5.6766918272897315E-5</v>
      </c>
    </row>
    <row r="394" spans="1:14" x14ac:dyDescent="0.35">
      <c r="A394" s="6">
        <v>45165</v>
      </c>
      <c r="B394" t="s">
        <v>10</v>
      </c>
      <c r="C394" t="s">
        <v>19</v>
      </c>
      <c r="D394" t="s">
        <v>26</v>
      </c>
      <c r="E394" t="s">
        <v>34</v>
      </c>
      <c r="F394" s="4">
        <v>1</v>
      </c>
      <c r="G394" s="4">
        <v>24220.25</v>
      </c>
      <c r="H394" s="4">
        <v>13879.93</v>
      </c>
      <c r="I394" s="8">
        <v>0.05</v>
      </c>
      <c r="J394" s="4">
        <v>10340.32</v>
      </c>
      <c r="K394" s="4" t="str">
        <f t="shared" si="24"/>
        <v>August</v>
      </c>
      <c r="L394">
        <f t="shared" si="25"/>
        <v>8</v>
      </c>
      <c r="M394" s="9">
        <f t="shared" si="26"/>
        <v>0.42692870635109048</v>
      </c>
      <c r="N394" s="9">
        <f t="shared" si="27"/>
        <v>2.2429183561160543E-4</v>
      </c>
    </row>
    <row r="395" spans="1:14" x14ac:dyDescent="0.35">
      <c r="A395" s="6">
        <v>45211</v>
      </c>
      <c r="B395" t="s">
        <v>11</v>
      </c>
      <c r="C395" t="s">
        <v>16</v>
      </c>
      <c r="D395" t="s">
        <v>27</v>
      </c>
      <c r="E395" t="s">
        <v>31</v>
      </c>
      <c r="F395" s="4">
        <v>2</v>
      </c>
      <c r="G395" s="4">
        <v>49612</v>
      </c>
      <c r="H395" s="4">
        <v>38966.82</v>
      </c>
      <c r="I395" s="8">
        <v>0</v>
      </c>
      <c r="J395" s="4">
        <v>10645.18</v>
      </c>
      <c r="K395" s="4" t="str">
        <f t="shared" si="24"/>
        <v>October</v>
      </c>
      <c r="L395">
        <f t="shared" si="25"/>
        <v>10</v>
      </c>
      <c r="M395" s="9">
        <f t="shared" si="26"/>
        <v>0.21456865274530357</v>
      </c>
      <c r="N395" s="9">
        <f t="shared" si="27"/>
        <v>4.594323571541569E-4</v>
      </c>
    </row>
    <row r="396" spans="1:14" x14ac:dyDescent="0.35">
      <c r="A396" s="6">
        <v>45127</v>
      </c>
      <c r="B396" t="s">
        <v>12</v>
      </c>
      <c r="C396" t="s">
        <v>24</v>
      </c>
      <c r="D396" t="s">
        <v>28</v>
      </c>
      <c r="E396" t="s">
        <v>42</v>
      </c>
      <c r="F396" s="4">
        <v>3</v>
      </c>
      <c r="G396" s="4">
        <v>27362.85</v>
      </c>
      <c r="H396" s="4">
        <v>15999.55</v>
      </c>
      <c r="I396" s="8">
        <v>0.05</v>
      </c>
      <c r="J396" s="4">
        <v>11363.3</v>
      </c>
      <c r="K396" s="4" t="str">
        <f t="shared" si="24"/>
        <v>July</v>
      </c>
      <c r="L396">
        <f t="shared" si="25"/>
        <v>7</v>
      </c>
      <c r="M396" s="9">
        <f t="shared" si="26"/>
        <v>0.41528203385246787</v>
      </c>
      <c r="N396" s="9">
        <f t="shared" si="27"/>
        <v>2.5339391022243852E-4</v>
      </c>
    </row>
    <row r="397" spans="1:14" x14ac:dyDescent="0.35">
      <c r="A397" s="6">
        <v>45276</v>
      </c>
      <c r="B397" t="s">
        <v>12</v>
      </c>
      <c r="C397" t="s">
        <v>21</v>
      </c>
      <c r="D397" t="s">
        <v>26</v>
      </c>
      <c r="E397" t="s">
        <v>35</v>
      </c>
      <c r="F397" s="4">
        <v>4</v>
      </c>
      <c r="G397" s="4">
        <v>39286.400000000001</v>
      </c>
      <c r="H397" s="4">
        <v>22260.1</v>
      </c>
      <c r="I397" s="8">
        <v>0.2</v>
      </c>
      <c r="J397" s="4">
        <v>17026.3</v>
      </c>
      <c r="K397" s="4" t="str">
        <f t="shared" si="24"/>
        <v>December</v>
      </c>
      <c r="L397">
        <f t="shared" si="25"/>
        <v>12</v>
      </c>
      <c r="M397" s="9">
        <f t="shared" si="26"/>
        <v>0.43338916266188804</v>
      </c>
      <c r="N397" s="9">
        <f t="shared" si="27"/>
        <v>3.6381204861930724E-4</v>
      </c>
    </row>
    <row r="398" spans="1:14" x14ac:dyDescent="0.35">
      <c r="A398" s="6">
        <v>45237</v>
      </c>
      <c r="B398" t="s">
        <v>11</v>
      </c>
      <c r="C398" t="s">
        <v>18</v>
      </c>
      <c r="D398" t="s">
        <v>27</v>
      </c>
      <c r="E398" t="s">
        <v>38</v>
      </c>
      <c r="F398" s="4">
        <v>6</v>
      </c>
      <c r="G398" s="4">
        <v>158970.6</v>
      </c>
      <c r="H398" s="4">
        <v>105272.44</v>
      </c>
      <c r="I398" s="8">
        <v>0.1</v>
      </c>
      <c r="J398" s="4">
        <v>53698.16</v>
      </c>
      <c r="K398" s="4" t="str">
        <f t="shared" si="24"/>
        <v>November</v>
      </c>
      <c r="L398">
        <f t="shared" si="25"/>
        <v>11</v>
      </c>
      <c r="M398" s="9">
        <f t="shared" si="26"/>
        <v>0.33778673540893728</v>
      </c>
      <c r="N398" s="9">
        <f t="shared" si="27"/>
        <v>1.4721486228374307E-3</v>
      </c>
    </row>
    <row r="399" spans="1:14" x14ac:dyDescent="0.35">
      <c r="A399" s="6">
        <v>45205</v>
      </c>
      <c r="B399" t="s">
        <v>12</v>
      </c>
      <c r="C399" t="s">
        <v>21</v>
      </c>
      <c r="D399" t="s">
        <v>28</v>
      </c>
      <c r="E399" t="s">
        <v>39</v>
      </c>
      <c r="F399" s="4">
        <v>5</v>
      </c>
      <c r="G399" s="4">
        <v>189685</v>
      </c>
      <c r="H399" s="4">
        <v>114572.18</v>
      </c>
      <c r="I399" s="8">
        <v>0</v>
      </c>
      <c r="J399" s="4">
        <v>75112.820000000007</v>
      </c>
      <c r="K399" s="4" t="str">
        <f t="shared" si="24"/>
        <v>October</v>
      </c>
      <c r="L399">
        <f t="shared" si="25"/>
        <v>10</v>
      </c>
      <c r="M399" s="9">
        <f t="shared" si="26"/>
        <v>0.39598713656852152</v>
      </c>
      <c r="N399" s="9">
        <f t="shared" si="27"/>
        <v>1.7565795909615868E-3</v>
      </c>
    </row>
    <row r="400" spans="1:14" x14ac:dyDescent="0.35">
      <c r="A400" s="6">
        <v>45025</v>
      </c>
      <c r="B400" t="s">
        <v>11</v>
      </c>
      <c r="C400" t="s">
        <v>16</v>
      </c>
      <c r="D400" t="s">
        <v>28</v>
      </c>
      <c r="E400" t="s">
        <v>44</v>
      </c>
      <c r="F400" s="4">
        <v>5</v>
      </c>
      <c r="G400" s="4">
        <v>64120.5</v>
      </c>
      <c r="H400" s="4">
        <v>42158.12</v>
      </c>
      <c r="I400" s="8">
        <v>0.1</v>
      </c>
      <c r="J400" s="4">
        <v>21962.38</v>
      </c>
      <c r="K400" s="4" t="str">
        <f t="shared" si="24"/>
        <v>April</v>
      </c>
      <c r="L400">
        <f t="shared" si="25"/>
        <v>4</v>
      </c>
      <c r="M400" s="9">
        <f t="shared" si="26"/>
        <v>0.34251729166179307</v>
      </c>
      <c r="N400" s="9">
        <f t="shared" si="27"/>
        <v>5.9378844749058933E-4</v>
      </c>
    </row>
    <row r="401" spans="1:14" x14ac:dyDescent="0.35">
      <c r="A401" s="6">
        <v>45121</v>
      </c>
      <c r="B401" t="s">
        <v>12</v>
      </c>
      <c r="C401" t="s">
        <v>21</v>
      </c>
      <c r="D401" t="s">
        <v>27</v>
      </c>
      <c r="E401" t="s">
        <v>38</v>
      </c>
      <c r="F401" s="4">
        <v>6</v>
      </c>
      <c r="G401" s="4">
        <v>186287.7</v>
      </c>
      <c r="H401" s="4">
        <v>139640.34</v>
      </c>
      <c r="I401" s="8">
        <v>0.15</v>
      </c>
      <c r="J401" s="4">
        <v>46647.360000000001</v>
      </c>
      <c r="K401" s="4" t="str">
        <f t="shared" si="24"/>
        <v>July</v>
      </c>
      <c r="L401">
        <f t="shared" si="25"/>
        <v>7</v>
      </c>
      <c r="M401" s="9">
        <f t="shared" si="26"/>
        <v>0.25040493816822046</v>
      </c>
      <c r="N401" s="9">
        <f t="shared" si="27"/>
        <v>1.7251188647872779E-3</v>
      </c>
    </row>
    <row r="402" spans="1:14" x14ac:dyDescent="0.35">
      <c r="A402" s="6">
        <v>45239</v>
      </c>
      <c r="B402" t="s">
        <v>11</v>
      </c>
      <c r="C402" t="s">
        <v>17</v>
      </c>
      <c r="D402" t="s">
        <v>27</v>
      </c>
      <c r="E402" t="s">
        <v>40</v>
      </c>
      <c r="F402" s="4">
        <v>7</v>
      </c>
      <c r="G402" s="4">
        <v>108630.9</v>
      </c>
      <c r="H402" s="4">
        <v>75558.19</v>
      </c>
      <c r="I402" s="8">
        <v>0.1</v>
      </c>
      <c r="J402" s="4">
        <v>33072.71</v>
      </c>
      <c r="K402" s="4" t="str">
        <f t="shared" si="24"/>
        <v>November</v>
      </c>
      <c r="L402">
        <f t="shared" si="25"/>
        <v>11</v>
      </c>
      <c r="M402" s="9">
        <f t="shared" si="26"/>
        <v>0.30445029913219906</v>
      </c>
      <c r="N402" s="9">
        <f t="shared" si="27"/>
        <v>1.0059773935091811E-3</v>
      </c>
    </row>
    <row r="403" spans="1:14" x14ac:dyDescent="0.35">
      <c r="A403" s="6">
        <v>45122</v>
      </c>
      <c r="B403" t="s">
        <v>10</v>
      </c>
      <c r="C403" t="s">
        <v>14</v>
      </c>
      <c r="D403" t="s">
        <v>26</v>
      </c>
      <c r="E403" t="s">
        <v>35</v>
      </c>
      <c r="F403" s="4">
        <v>2</v>
      </c>
      <c r="G403" s="4">
        <v>39893.9</v>
      </c>
      <c r="H403" s="4">
        <v>26235.52</v>
      </c>
      <c r="I403" s="8">
        <v>0.15</v>
      </c>
      <c r="J403" s="4">
        <v>13658.38</v>
      </c>
      <c r="K403" s="4" t="str">
        <f t="shared" si="24"/>
        <v>July</v>
      </c>
      <c r="L403">
        <f t="shared" si="25"/>
        <v>7</v>
      </c>
      <c r="M403" s="9">
        <f t="shared" si="26"/>
        <v>0.3423676301389435</v>
      </c>
      <c r="N403" s="9">
        <f t="shared" si="27"/>
        <v>3.694378076487991E-4</v>
      </c>
    </row>
    <row r="404" spans="1:14" x14ac:dyDescent="0.35">
      <c r="A404" s="6">
        <v>45052</v>
      </c>
      <c r="B404" t="s">
        <v>12</v>
      </c>
      <c r="C404" t="s">
        <v>23</v>
      </c>
      <c r="D404" t="s">
        <v>27</v>
      </c>
      <c r="E404" t="s">
        <v>40</v>
      </c>
      <c r="F404" s="4">
        <v>4</v>
      </c>
      <c r="G404" s="4">
        <v>20499.2</v>
      </c>
      <c r="H404" s="4">
        <v>13925.31</v>
      </c>
      <c r="I404" s="8">
        <v>0.2</v>
      </c>
      <c r="J404" s="4">
        <v>6573.89</v>
      </c>
      <c r="K404" s="4" t="str">
        <f t="shared" si="24"/>
        <v>May</v>
      </c>
      <c r="L404">
        <f t="shared" si="25"/>
        <v>5</v>
      </c>
      <c r="M404" s="9">
        <f t="shared" si="26"/>
        <v>0.32069007571027164</v>
      </c>
      <c r="N404" s="9">
        <f t="shared" si="27"/>
        <v>1.8983301974874009E-4</v>
      </c>
    </row>
    <row r="405" spans="1:14" x14ac:dyDescent="0.35">
      <c r="A405" s="6">
        <v>45130</v>
      </c>
      <c r="B405" t="s">
        <v>9</v>
      </c>
      <c r="C405" t="s">
        <v>13</v>
      </c>
      <c r="D405" t="s">
        <v>27</v>
      </c>
      <c r="E405" t="s">
        <v>41</v>
      </c>
      <c r="F405" s="4">
        <v>5</v>
      </c>
      <c r="G405" s="4">
        <v>67464.25</v>
      </c>
      <c r="H405" s="4">
        <v>51301.9</v>
      </c>
      <c r="I405" s="8">
        <v>0.05</v>
      </c>
      <c r="J405" s="4">
        <v>16162.35</v>
      </c>
      <c r="K405" s="4" t="str">
        <f t="shared" si="24"/>
        <v>July</v>
      </c>
      <c r="L405">
        <f t="shared" si="25"/>
        <v>7</v>
      </c>
      <c r="M405" s="9">
        <f t="shared" si="26"/>
        <v>0.23956910511863691</v>
      </c>
      <c r="N405" s="9">
        <f t="shared" si="27"/>
        <v>6.247532734245209E-4</v>
      </c>
    </row>
    <row r="406" spans="1:14" x14ac:dyDescent="0.35">
      <c r="A406" s="6">
        <v>45270</v>
      </c>
      <c r="B406" t="s">
        <v>10</v>
      </c>
      <c r="C406" t="s">
        <v>14</v>
      </c>
      <c r="D406" t="s">
        <v>25</v>
      </c>
      <c r="E406" t="s">
        <v>37</v>
      </c>
      <c r="F406" s="4">
        <v>1</v>
      </c>
      <c r="G406" s="4">
        <v>17844.8</v>
      </c>
      <c r="H406" s="4">
        <v>11980.95</v>
      </c>
      <c r="I406" s="8">
        <v>0.05</v>
      </c>
      <c r="J406" s="4">
        <v>5863.85</v>
      </c>
      <c r="K406" s="4" t="str">
        <f t="shared" si="24"/>
        <v>December</v>
      </c>
      <c r="L406">
        <f t="shared" si="25"/>
        <v>12</v>
      </c>
      <c r="M406" s="9">
        <f t="shared" si="26"/>
        <v>0.32860273020711922</v>
      </c>
      <c r="N406" s="9">
        <f t="shared" si="27"/>
        <v>1.6525192548061957E-4</v>
      </c>
    </row>
    <row r="407" spans="1:14" x14ac:dyDescent="0.35">
      <c r="A407" s="6">
        <v>45160</v>
      </c>
      <c r="B407" t="s">
        <v>9</v>
      </c>
      <c r="C407" t="s">
        <v>15</v>
      </c>
      <c r="D407" t="s">
        <v>25</v>
      </c>
      <c r="E407" t="s">
        <v>33</v>
      </c>
      <c r="F407" s="4">
        <v>4</v>
      </c>
      <c r="G407" s="4">
        <v>153496.79999999999</v>
      </c>
      <c r="H407" s="4">
        <v>99311.92</v>
      </c>
      <c r="I407" s="8">
        <v>0.1</v>
      </c>
      <c r="J407" s="4">
        <v>54184.88</v>
      </c>
      <c r="K407" s="4" t="str">
        <f t="shared" si="24"/>
        <v>August</v>
      </c>
      <c r="L407">
        <f t="shared" si="25"/>
        <v>8</v>
      </c>
      <c r="M407" s="9">
        <f t="shared" si="26"/>
        <v>0.35300331993891731</v>
      </c>
      <c r="N407" s="9">
        <f t="shared" si="27"/>
        <v>1.4214584503672535E-3</v>
      </c>
    </row>
    <row r="408" spans="1:14" x14ac:dyDescent="0.35">
      <c r="A408" s="6">
        <v>45050</v>
      </c>
      <c r="B408" t="s">
        <v>9</v>
      </c>
      <c r="C408" t="s">
        <v>20</v>
      </c>
      <c r="D408" t="s">
        <v>28</v>
      </c>
      <c r="E408" t="s">
        <v>42</v>
      </c>
      <c r="F408" s="4">
        <v>5</v>
      </c>
      <c r="G408" s="4">
        <v>10676</v>
      </c>
      <c r="H408" s="4">
        <v>6860.39</v>
      </c>
      <c r="I408" s="8">
        <v>0.2</v>
      </c>
      <c r="J408" s="4">
        <v>3815.61</v>
      </c>
      <c r="K408" s="4" t="str">
        <f t="shared" si="24"/>
        <v>May</v>
      </c>
      <c r="L408">
        <f t="shared" si="25"/>
        <v>5</v>
      </c>
      <c r="M408" s="9">
        <f t="shared" si="26"/>
        <v>0.35740071187710754</v>
      </c>
      <c r="N408" s="9">
        <f t="shared" si="27"/>
        <v>9.8865190780008446E-5</v>
      </c>
    </row>
    <row r="409" spans="1:14" x14ac:dyDescent="0.35">
      <c r="A409" s="6">
        <v>45211</v>
      </c>
      <c r="B409" t="s">
        <v>12</v>
      </c>
      <c r="C409" t="s">
        <v>21</v>
      </c>
      <c r="D409" t="s">
        <v>25</v>
      </c>
      <c r="E409" t="s">
        <v>32</v>
      </c>
      <c r="F409" s="4">
        <v>4</v>
      </c>
      <c r="G409" s="4">
        <v>4369</v>
      </c>
      <c r="H409" s="4">
        <v>2998.64</v>
      </c>
      <c r="I409" s="8">
        <v>0.15</v>
      </c>
      <c r="J409" s="4">
        <v>1370.36</v>
      </c>
      <c r="K409" s="4" t="str">
        <f t="shared" si="24"/>
        <v>October</v>
      </c>
      <c r="L409">
        <f t="shared" si="25"/>
        <v>10</v>
      </c>
      <c r="M409" s="9">
        <f t="shared" si="26"/>
        <v>0.31365529869535358</v>
      </c>
      <c r="N409" s="9">
        <f t="shared" si="27"/>
        <v>4.0459162468888806E-5</v>
      </c>
    </row>
    <row r="410" spans="1:14" x14ac:dyDescent="0.35">
      <c r="A410" s="6">
        <v>45204</v>
      </c>
      <c r="B410" t="s">
        <v>12</v>
      </c>
      <c r="C410" t="s">
        <v>21</v>
      </c>
      <c r="D410" t="s">
        <v>25</v>
      </c>
      <c r="E410" t="s">
        <v>32</v>
      </c>
      <c r="F410" s="4">
        <v>4</v>
      </c>
      <c r="G410" s="4">
        <v>112652.8</v>
      </c>
      <c r="H410" s="4">
        <v>89298.25</v>
      </c>
      <c r="I410" s="8">
        <v>0.2</v>
      </c>
      <c r="J410" s="4">
        <v>23354.55</v>
      </c>
      <c r="K410" s="4" t="str">
        <f t="shared" si="24"/>
        <v>October</v>
      </c>
      <c r="L410">
        <f t="shared" si="25"/>
        <v>10</v>
      </c>
      <c r="M410" s="9">
        <f t="shared" si="26"/>
        <v>0.20731442094648334</v>
      </c>
      <c r="N410" s="9">
        <f t="shared" si="27"/>
        <v>1.0432222334115901E-3</v>
      </c>
    </row>
    <row r="411" spans="1:14" x14ac:dyDescent="0.35">
      <c r="A411" s="6">
        <v>45235</v>
      </c>
      <c r="B411" t="s">
        <v>11</v>
      </c>
      <c r="C411" t="s">
        <v>16</v>
      </c>
      <c r="D411" t="s">
        <v>27</v>
      </c>
      <c r="E411" t="s">
        <v>38</v>
      </c>
      <c r="F411" s="4">
        <v>1</v>
      </c>
      <c r="G411" s="4">
        <v>2310.4</v>
      </c>
      <c r="H411" s="4">
        <v>1367.95</v>
      </c>
      <c r="I411" s="8">
        <v>0.05</v>
      </c>
      <c r="J411" s="4">
        <v>942.45</v>
      </c>
      <c r="K411" s="4" t="str">
        <f t="shared" si="24"/>
        <v>November</v>
      </c>
      <c r="L411">
        <f t="shared" si="25"/>
        <v>11</v>
      </c>
      <c r="M411" s="9">
        <f t="shared" si="26"/>
        <v>0.40791637811634351</v>
      </c>
      <c r="N411" s="9">
        <f t="shared" si="27"/>
        <v>2.1395479278581071E-5</v>
      </c>
    </row>
    <row r="412" spans="1:14" x14ac:dyDescent="0.35">
      <c r="A412" s="6">
        <v>45267</v>
      </c>
      <c r="B412" t="s">
        <v>9</v>
      </c>
      <c r="C412" t="s">
        <v>15</v>
      </c>
      <c r="D412" t="s">
        <v>25</v>
      </c>
      <c r="E412" t="s">
        <v>29</v>
      </c>
      <c r="F412" s="4">
        <v>2</v>
      </c>
      <c r="G412" s="4">
        <v>16110.4</v>
      </c>
      <c r="H412" s="4">
        <v>9644.59</v>
      </c>
      <c r="I412" s="8">
        <v>0.2</v>
      </c>
      <c r="J412" s="4">
        <v>6465.81</v>
      </c>
      <c r="K412" s="4" t="str">
        <f t="shared" si="24"/>
        <v>December</v>
      </c>
      <c r="L412">
        <f t="shared" si="25"/>
        <v>12</v>
      </c>
      <c r="M412" s="9">
        <f t="shared" si="26"/>
        <v>0.40134385241831366</v>
      </c>
      <c r="N412" s="9">
        <f t="shared" si="27"/>
        <v>1.4919049920777893E-4</v>
      </c>
    </row>
    <row r="413" spans="1:14" x14ac:dyDescent="0.35">
      <c r="A413" s="6">
        <v>45018</v>
      </c>
      <c r="B413" t="s">
        <v>10</v>
      </c>
      <c r="C413" t="s">
        <v>22</v>
      </c>
      <c r="D413" t="s">
        <v>26</v>
      </c>
      <c r="E413" t="s">
        <v>43</v>
      </c>
      <c r="F413" s="4">
        <v>4</v>
      </c>
      <c r="G413" s="4">
        <v>2169.1999999999998</v>
      </c>
      <c r="H413" s="4">
        <v>1381.39</v>
      </c>
      <c r="I413" s="8">
        <v>0.15</v>
      </c>
      <c r="J413" s="4">
        <v>787.81</v>
      </c>
      <c r="K413" s="4" t="str">
        <f t="shared" si="24"/>
        <v>April</v>
      </c>
      <c r="L413">
        <f t="shared" si="25"/>
        <v>4</v>
      </c>
      <c r="M413" s="9">
        <f t="shared" si="26"/>
        <v>0.36317997418403097</v>
      </c>
      <c r="N413" s="9">
        <f t="shared" si="27"/>
        <v>2.0087895451479421E-5</v>
      </c>
    </row>
    <row r="414" spans="1:14" x14ac:dyDescent="0.35">
      <c r="A414" s="6">
        <v>45199</v>
      </c>
      <c r="B414" t="s">
        <v>9</v>
      </c>
      <c r="C414" t="s">
        <v>13</v>
      </c>
      <c r="D414" t="s">
        <v>25</v>
      </c>
      <c r="E414" t="s">
        <v>33</v>
      </c>
      <c r="F414" s="4">
        <v>7</v>
      </c>
      <c r="G414" s="4">
        <v>162208.9</v>
      </c>
      <c r="H414" s="4">
        <v>105507.92</v>
      </c>
      <c r="I414" s="8">
        <v>0.15</v>
      </c>
      <c r="J414" s="4">
        <v>56700.98</v>
      </c>
      <c r="K414" s="4" t="str">
        <f t="shared" si="24"/>
        <v>September</v>
      </c>
      <c r="L414">
        <f t="shared" si="25"/>
        <v>9</v>
      </c>
      <c r="M414" s="9">
        <f t="shared" si="26"/>
        <v>0.34955529567119931</v>
      </c>
      <c r="N414" s="9">
        <f t="shared" si="27"/>
        <v>1.5021369281299466E-3</v>
      </c>
    </row>
    <row r="415" spans="1:14" x14ac:dyDescent="0.35">
      <c r="A415" s="6">
        <v>45267</v>
      </c>
      <c r="B415" t="s">
        <v>9</v>
      </c>
      <c r="C415" t="s">
        <v>20</v>
      </c>
      <c r="D415" t="s">
        <v>26</v>
      </c>
      <c r="E415" t="s">
        <v>34</v>
      </c>
      <c r="F415" s="4">
        <v>1</v>
      </c>
      <c r="G415" s="4">
        <v>42935.25</v>
      </c>
      <c r="H415" s="4">
        <v>28567.46</v>
      </c>
      <c r="I415" s="8">
        <v>0.05</v>
      </c>
      <c r="J415" s="4">
        <v>14367.79</v>
      </c>
      <c r="K415" s="4" t="str">
        <f t="shared" si="24"/>
        <v>December</v>
      </c>
      <c r="L415">
        <f t="shared" si="25"/>
        <v>12</v>
      </c>
      <c r="M415" s="9">
        <f t="shared" si="26"/>
        <v>0.33463855456763386</v>
      </c>
      <c r="N415" s="9">
        <f t="shared" si="27"/>
        <v>3.9760225575471688E-4</v>
      </c>
    </row>
    <row r="416" spans="1:14" x14ac:dyDescent="0.35">
      <c r="A416" s="6">
        <v>45017</v>
      </c>
      <c r="B416" t="s">
        <v>11</v>
      </c>
      <c r="C416" t="s">
        <v>16</v>
      </c>
      <c r="D416" t="s">
        <v>27</v>
      </c>
      <c r="E416" t="s">
        <v>38</v>
      </c>
      <c r="F416" s="4">
        <v>4</v>
      </c>
      <c r="G416" s="4">
        <v>97146</v>
      </c>
      <c r="H416" s="4">
        <v>56645.16</v>
      </c>
      <c r="I416" s="8">
        <v>0.1</v>
      </c>
      <c r="J416" s="4">
        <v>40500.839999999997</v>
      </c>
      <c r="K416" s="4" t="str">
        <f t="shared" si="24"/>
        <v>April</v>
      </c>
      <c r="L416">
        <f t="shared" si="25"/>
        <v>4</v>
      </c>
      <c r="M416" s="9">
        <f t="shared" si="26"/>
        <v>0.41690692359953058</v>
      </c>
      <c r="N416" s="9">
        <f t="shared" si="27"/>
        <v>8.9962137724940996E-4</v>
      </c>
    </row>
    <row r="417" spans="1:14" x14ac:dyDescent="0.35">
      <c r="A417" s="6">
        <v>45172</v>
      </c>
      <c r="B417" t="s">
        <v>12</v>
      </c>
      <c r="C417" t="s">
        <v>24</v>
      </c>
      <c r="D417" t="s">
        <v>25</v>
      </c>
      <c r="E417" t="s">
        <v>32</v>
      </c>
      <c r="F417" s="4">
        <v>5</v>
      </c>
      <c r="G417" s="4">
        <v>17552.5</v>
      </c>
      <c r="H417" s="4">
        <v>9820.5400000000009</v>
      </c>
      <c r="I417" s="8">
        <v>0.15</v>
      </c>
      <c r="J417" s="4">
        <v>7731.96</v>
      </c>
      <c r="K417" s="4" t="str">
        <f t="shared" si="24"/>
        <v>September</v>
      </c>
      <c r="L417">
        <f t="shared" si="25"/>
        <v>9</v>
      </c>
      <c r="M417" s="9">
        <f t="shared" si="26"/>
        <v>0.44050477140008548</v>
      </c>
      <c r="N417" s="9">
        <f t="shared" si="27"/>
        <v>1.6254507879038011E-4</v>
      </c>
    </row>
    <row r="418" spans="1:14" x14ac:dyDescent="0.35">
      <c r="A418" s="6">
        <v>44938</v>
      </c>
      <c r="B418" t="s">
        <v>9</v>
      </c>
      <c r="C418" t="s">
        <v>15</v>
      </c>
      <c r="D418" t="s">
        <v>26</v>
      </c>
      <c r="E418" t="s">
        <v>43</v>
      </c>
      <c r="F418" s="4">
        <v>1</v>
      </c>
      <c r="G418" s="4">
        <v>1450.95</v>
      </c>
      <c r="H418" s="4">
        <v>967.34</v>
      </c>
      <c r="I418" s="8">
        <v>0.15</v>
      </c>
      <c r="J418" s="4">
        <v>483.61</v>
      </c>
      <c r="K418" s="4" t="str">
        <f t="shared" si="24"/>
        <v>January</v>
      </c>
      <c r="L418">
        <f t="shared" si="25"/>
        <v>1</v>
      </c>
      <c r="M418" s="9">
        <f t="shared" si="26"/>
        <v>0.33330576518832489</v>
      </c>
      <c r="N418" s="9">
        <f t="shared" si="27"/>
        <v>1.3436535084512294E-5</v>
      </c>
    </row>
    <row r="419" spans="1:14" x14ac:dyDescent="0.35">
      <c r="A419" s="6">
        <v>45109</v>
      </c>
      <c r="B419" t="s">
        <v>10</v>
      </c>
      <c r="C419" t="s">
        <v>14</v>
      </c>
      <c r="D419" t="s">
        <v>25</v>
      </c>
      <c r="E419" t="s">
        <v>29</v>
      </c>
      <c r="F419" s="4">
        <v>2</v>
      </c>
      <c r="G419" s="4">
        <v>66529.5</v>
      </c>
      <c r="H419" s="4">
        <v>50954.07</v>
      </c>
      <c r="I419" s="8">
        <v>0.15</v>
      </c>
      <c r="J419" s="4">
        <v>15575.43</v>
      </c>
      <c r="K419" s="4" t="str">
        <f t="shared" si="24"/>
        <v>July</v>
      </c>
      <c r="L419">
        <f t="shared" si="25"/>
        <v>7</v>
      </c>
      <c r="M419" s="9">
        <f t="shared" si="26"/>
        <v>0.23411313778098439</v>
      </c>
      <c r="N419" s="9">
        <f t="shared" si="27"/>
        <v>6.1609701292605575E-4</v>
      </c>
    </row>
    <row r="420" spans="1:14" x14ac:dyDescent="0.35">
      <c r="A420" s="6">
        <v>45175</v>
      </c>
      <c r="B420" t="s">
        <v>10</v>
      </c>
      <c r="C420" t="s">
        <v>19</v>
      </c>
      <c r="D420" t="s">
        <v>25</v>
      </c>
      <c r="E420" t="s">
        <v>33</v>
      </c>
      <c r="F420" s="4">
        <v>6</v>
      </c>
      <c r="G420" s="4">
        <v>75745.8</v>
      </c>
      <c r="H420" s="4">
        <v>51341.93</v>
      </c>
      <c r="I420" s="8">
        <v>0.1</v>
      </c>
      <c r="J420" s="4">
        <v>24403.87</v>
      </c>
      <c r="K420" s="4" t="str">
        <f t="shared" si="24"/>
        <v>September</v>
      </c>
      <c r="L420">
        <f t="shared" si="25"/>
        <v>9</v>
      </c>
      <c r="M420" s="9">
        <f t="shared" si="26"/>
        <v>0.32218116384010725</v>
      </c>
      <c r="N420" s="9">
        <f t="shared" si="27"/>
        <v>7.0144463917050988E-4</v>
      </c>
    </row>
    <row r="421" spans="1:14" x14ac:dyDescent="0.35">
      <c r="A421" s="6">
        <v>45101</v>
      </c>
      <c r="B421" t="s">
        <v>9</v>
      </c>
      <c r="C421" t="s">
        <v>20</v>
      </c>
      <c r="D421" t="s">
        <v>27</v>
      </c>
      <c r="E421" t="s">
        <v>40</v>
      </c>
      <c r="F421" s="4">
        <v>5</v>
      </c>
      <c r="G421" s="4">
        <v>218596.5</v>
      </c>
      <c r="H421" s="4">
        <v>142502.20000000001</v>
      </c>
      <c r="I421" s="8">
        <v>0.1</v>
      </c>
      <c r="J421" s="4">
        <v>76094.3</v>
      </c>
      <c r="K421" s="4" t="str">
        <f t="shared" si="24"/>
        <v>June</v>
      </c>
      <c r="L421">
        <f t="shared" si="25"/>
        <v>6</v>
      </c>
      <c r="M421" s="9">
        <f t="shared" si="26"/>
        <v>0.34810392664109446</v>
      </c>
      <c r="N421" s="9">
        <f t="shared" si="27"/>
        <v>2.0243147879676015E-3</v>
      </c>
    </row>
    <row r="422" spans="1:14" x14ac:dyDescent="0.35">
      <c r="A422" s="6">
        <v>45263</v>
      </c>
      <c r="B422" t="s">
        <v>9</v>
      </c>
      <c r="C422" t="s">
        <v>15</v>
      </c>
      <c r="D422" t="s">
        <v>26</v>
      </c>
      <c r="E422" t="s">
        <v>35</v>
      </c>
      <c r="F422" s="4">
        <v>5</v>
      </c>
      <c r="G422" s="4">
        <v>100015</v>
      </c>
      <c r="H422" s="4">
        <v>56495.26</v>
      </c>
      <c r="I422" s="8">
        <v>0</v>
      </c>
      <c r="J422" s="4">
        <v>43519.74</v>
      </c>
      <c r="K422" s="4" t="str">
        <f t="shared" si="24"/>
        <v>December</v>
      </c>
      <c r="L422">
        <f t="shared" si="25"/>
        <v>12</v>
      </c>
      <c r="M422" s="9">
        <f t="shared" si="26"/>
        <v>0.43513213018047292</v>
      </c>
      <c r="N422" s="9">
        <f t="shared" si="27"/>
        <v>9.2618977668251638E-4</v>
      </c>
    </row>
    <row r="423" spans="1:14" x14ac:dyDescent="0.35">
      <c r="A423" s="6">
        <v>44939</v>
      </c>
      <c r="B423" t="s">
        <v>12</v>
      </c>
      <c r="C423" t="s">
        <v>23</v>
      </c>
      <c r="D423" t="s">
        <v>27</v>
      </c>
      <c r="E423" t="s">
        <v>31</v>
      </c>
      <c r="F423" s="4">
        <v>3</v>
      </c>
      <c r="G423" s="4">
        <v>110727</v>
      </c>
      <c r="H423" s="4">
        <v>73310.11</v>
      </c>
      <c r="I423" s="8">
        <v>0.1</v>
      </c>
      <c r="J423" s="4">
        <v>37416.89</v>
      </c>
      <c r="K423" s="4" t="str">
        <f t="shared" si="24"/>
        <v>January</v>
      </c>
      <c r="L423">
        <f t="shared" si="25"/>
        <v>1</v>
      </c>
      <c r="M423" s="9">
        <f t="shared" si="26"/>
        <v>0.33792020013185581</v>
      </c>
      <c r="N423" s="9">
        <f t="shared" si="27"/>
        <v>1.0253883457753835E-3</v>
      </c>
    </row>
    <row r="424" spans="1:14" x14ac:dyDescent="0.35">
      <c r="A424" s="6">
        <v>45249</v>
      </c>
      <c r="B424" t="s">
        <v>9</v>
      </c>
      <c r="C424" t="s">
        <v>20</v>
      </c>
      <c r="D424" t="s">
        <v>27</v>
      </c>
      <c r="E424" t="s">
        <v>40</v>
      </c>
      <c r="F424" s="4">
        <v>7</v>
      </c>
      <c r="G424" s="4">
        <v>192668</v>
      </c>
      <c r="H424" s="4">
        <v>107438.88</v>
      </c>
      <c r="I424" s="8">
        <v>0.2</v>
      </c>
      <c r="J424" s="4">
        <v>85229.119999999995</v>
      </c>
      <c r="K424" s="4" t="str">
        <f t="shared" si="24"/>
        <v>November</v>
      </c>
      <c r="L424">
        <f t="shared" si="25"/>
        <v>11</v>
      </c>
      <c r="M424" s="9">
        <f t="shared" si="26"/>
        <v>0.44236261340751964</v>
      </c>
      <c r="N424" s="9">
        <f t="shared" si="27"/>
        <v>1.7842036883854127E-3</v>
      </c>
    </row>
    <row r="425" spans="1:14" x14ac:dyDescent="0.35">
      <c r="A425" s="6">
        <v>45078</v>
      </c>
      <c r="B425" t="s">
        <v>10</v>
      </c>
      <c r="C425" t="s">
        <v>19</v>
      </c>
      <c r="D425" t="s">
        <v>28</v>
      </c>
      <c r="E425" t="s">
        <v>44</v>
      </c>
      <c r="F425" s="4">
        <v>6</v>
      </c>
      <c r="G425" s="4">
        <v>3957.6</v>
      </c>
      <c r="H425" s="4">
        <v>2972.59</v>
      </c>
      <c r="I425" s="8">
        <v>0.15</v>
      </c>
      <c r="J425" s="4">
        <v>985.01</v>
      </c>
      <c r="K425" s="4" t="str">
        <f t="shared" si="24"/>
        <v>June</v>
      </c>
      <c r="L425">
        <f t="shared" si="25"/>
        <v>6</v>
      </c>
      <c r="M425" s="9">
        <f t="shared" si="26"/>
        <v>0.24889074186375582</v>
      </c>
      <c r="N425" s="9">
        <f t="shared" si="27"/>
        <v>3.6649389193608223E-5</v>
      </c>
    </row>
    <row r="426" spans="1:14" x14ac:dyDescent="0.35">
      <c r="A426" s="6">
        <v>45208</v>
      </c>
      <c r="B426" t="s">
        <v>9</v>
      </c>
      <c r="C426" t="s">
        <v>20</v>
      </c>
      <c r="D426" t="s">
        <v>27</v>
      </c>
      <c r="E426" t="s">
        <v>41</v>
      </c>
      <c r="F426" s="4">
        <v>7</v>
      </c>
      <c r="G426" s="4">
        <v>178353</v>
      </c>
      <c r="H426" s="4">
        <v>107040.83</v>
      </c>
      <c r="I426" s="8">
        <v>0.1</v>
      </c>
      <c r="J426" s="4">
        <v>71312.17</v>
      </c>
      <c r="K426" s="4" t="str">
        <f t="shared" si="24"/>
        <v>October</v>
      </c>
      <c r="L426">
        <f t="shared" si="25"/>
        <v>10</v>
      </c>
      <c r="M426" s="9">
        <f t="shared" si="26"/>
        <v>0.39983723290328727</v>
      </c>
      <c r="N426" s="9">
        <f t="shared" si="27"/>
        <v>1.6516395064805963E-3</v>
      </c>
    </row>
    <row r="427" spans="1:14" x14ac:dyDescent="0.35">
      <c r="A427" s="6">
        <v>44927</v>
      </c>
      <c r="B427" t="s">
        <v>12</v>
      </c>
      <c r="C427" t="s">
        <v>21</v>
      </c>
      <c r="D427" t="s">
        <v>28</v>
      </c>
      <c r="E427" t="s">
        <v>42</v>
      </c>
      <c r="F427" s="4">
        <v>3</v>
      </c>
      <c r="G427" s="4">
        <v>4049.4</v>
      </c>
      <c r="H427" s="4">
        <v>3071.62</v>
      </c>
      <c r="I427" s="8">
        <v>0.15</v>
      </c>
      <c r="J427" s="4">
        <v>977.78</v>
      </c>
      <c r="K427" s="4" t="str">
        <f t="shared" si="24"/>
        <v>January</v>
      </c>
      <c r="L427">
        <f t="shared" si="25"/>
        <v>1</v>
      </c>
      <c r="M427" s="9">
        <f t="shared" si="26"/>
        <v>0.24146293278016495</v>
      </c>
      <c r="N427" s="9">
        <f t="shared" si="27"/>
        <v>3.7499503891398104E-5</v>
      </c>
    </row>
    <row r="428" spans="1:14" x14ac:dyDescent="0.35">
      <c r="A428" s="6">
        <v>45090</v>
      </c>
      <c r="B428" t="s">
        <v>9</v>
      </c>
      <c r="C428" t="s">
        <v>13</v>
      </c>
      <c r="D428" t="s">
        <v>27</v>
      </c>
      <c r="E428" t="s">
        <v>31</v>
      </c>
      <c r="F428" s="4">
        <v>5</v>
      </c>
      <c r="G428" s="4">
        <v>38975</v>
      </c>
      <c r="H428" s="4">
        <v>28901.09</v>
      </c>
      <c r="I428" s="8">
        <v>0</v>
      </c>
      <c r="J428" s="4">
        <v>10073.91</v>
      </c>
      <c r="K428" s="4" t="str">
        <f t="shared" si="24"/>
        <v>June</v>
      </c>
      <c r="L428">
        <f t="shared" si="25"/>
        <v>6</v>
      </c>
      <c r="M428" s="9">
        <f t="shared" si="26"/>
        <v>0.25847107119948687</v>
      </c>
      <c r="N428" s="9">
        <f t="shared" si="27"/>
        <v>3.6092832621307879E-4</v>
      </c>
    </row>
    <row r="429" spans="1:14" x14ac:dyDescent="0.35">
      <c r="A429" s="6">
        <v>45186</v>
      </c>
      <c r="B429" t="s">
        <v>9</v>
      </c>
      <c r="C429" t="s">
        <v>20</v>
      </c>
      <c r="D429" t="s">
        <v>25</v>
      </c>
      <c r="E429" t="s">
        <v>37</v>
      </c>
      <c r="F429" s="4">
        <v>7</v>
      </c>
      <c r="G429" s="4">
        <v>79986.2</v>
      </c>
      <c r="H429" s="4">
        <v>45545.13</v>
      </c>
      <c r="I429" s="8">
        <v>0.05</v>
      </c>
      <c r="J429" s="4">
        <v>34441.07</v>
      </c>
      <c r="K429" s="4" t="str">
        <f t="shared" si="24"/>
        <v>September</v>
      </c>
      <c r="L429">
        <f t="shared" si="25"/>
        <v>9</v>
      </c>
      <c r="M429" s="9">
        <f t="shared" si="26"/>
        <v>0.43058765136986132</v>
      </c>
      <c r="N429" s="9">
        <f t="shared" si="27"/>
        <v>7.4071290022179753E-4</v>
      </c>
    </row>
    <row r="430" spans="1:14" x14ac:dyDescent="0.35">
      <c r="A430" s="6">
        <v>45216</v>
      </c>
      <c r="B430" t="s">
        <v>10</v>
      </c>
      <c r="C430" t="s">
        <v>22</v>
      </c>
      <c r="D430" t="s">
        <v>28</v>
      </c>
      <c r="E430" t="s">
        <v>42</v>
      </c>
      <c r="F430" s="4">
        <v>3</v>
      </c>
      <c r="G430" s="4">
        <v>63296.1</v>
      </c>
      <c r="H430" s="4">
        <v>43943.96</v>
      </c>
      <c r="I430" s="8">
        <v>0.15</v>
      </c>
      <c r="J430" s="4">
        <v>19352.14</v>
      </c>
      <c r="K430" s="4" t="str">
        <f t="shared" si="24"/>
        <v>October</v>
      </c>
      <c r="L430">
        <f t="shared" si="25"/>
        <v>10</v>
      </c>
      <c r="M430" s="9">
        <f t="shared" si="26"/>
        <v>0.30573984811070509</v>
      </c>
      <c r="N430" s="9">
        <f t="shared" si="27"/>
        <v>5.8615408412612325E-4</v>
      </c>
    </row>
    <row r="431" spans="1:14" x14ac:dyDescent="0.35">
      <c r="A431" s="6">
        <v>45088</v>
      </c>
      <c r="B431" t="s">
        <v>12</v>
      </c>
      <c r="C431" t="s">
        <v>23</v>
      </c>
      <c r="D431" t="s">
        <v>25</v>
      </c>
      <c r="E431" t="s">
        <v>29</v>
      </c>
      <c r="F431" s="4">
        <v>6</v>
      </c>
      <c r="G431" s="4">
        <v>128426.7</v>
      </c>
      <c r="H431" s="4">
        <v>73102.47</v>
      </c>
      <c r="I431" s="8">
        <v>0.05</v>
      </c>
      <c r="J431" s="4">
        <v>55324.23</v>
      </c>
      <c r="K431" s="4" t="str">
        <f t="shared" si="24"/>
        <v>June</v>
      </c>
      <c r="L431">
        <f t="shared" si="25"/>
        <v>6</v>
      </c>
      <c r="M431" s="9">
        <f t="shared" si="26"/>
        <v>0.43078448640352829</v>
      </c>
      <c r="N431" s="9">
        <f t="shared" si="27"/>
        <v>1.1892965714450083E-3</v>
      </c>
    </row>
    <row r="432" spans="1:14" x14ac:dyDescent="0.35">
      <c r="A432" s="6">
        <v>45141</v>
      </c>
      <c r="B432" t="s">
        <v>10</v>
      </c>
      <c r="C432" t="s">
        <v>19</v>
      </c>
      <c r="D432" t="s">
        <v>26</v>
      </c>
      <c r="E432" t="s">
        <v>34</v>
      </c>
      <c r="F432" s="4">
        <v>2</v>
      </c>
      <c r="G432" s="4">
        <v>79206.399999999994</v>
      </c>
      <c r="H432" s="4">
        <v>60660.24</v>
      </c>
      <c r="I432" s="8">
        <v>0.15</v>
      </c>
      <c r="J432" s="4">
        <v>18546.16</v>
      </c>
      <c r="K432" s="4" t="str">
        <f t="shared" si="24"/>
        <v>August</v>
      </c>
      <c r="L432">
        <f t="shared" si="25"/>
        <v>8</v>
      </c>
      <c r="M432" s="9">
        <f t="shared" si="26"/>
        <v>0.234149765675501</v>
      </c>
      <c r="N432" s="9">
        <f t="shared" si="27"/>
        <v>7.3349155554492881E-4</v>
      </c>
    </row>
    <row r="433" spans="1:14" x14ac:dyDescent="0.35">
      <c r="A433" s="6">
        <v>45159</v>
      </c>
      <c r="B433" t="s">
        <v>10</v>
      </c>
      <c r="C433" t="s">
        <v>19</v>
      </c>
      <c r="D433" t="s">
        <v>25</v>
      </c>
      <c r="E433" t="s">
        <v>29</v>
      </c>
      <c r="F433" s="4">
        <v>6</v>
      </c>
      <c r="G433" s="4">
        <v>173030.39999999999</v>
      </c>
      <c r="H433" s="4">
        <v>131599.6</v>
      </c>
      <c r="I433" s="8">
        <v>0.2</v>
      </c>
      <c r="J433" s="4">
        <v>41430.800000000003</v>
      </c>
      <c r="K433" s="4" t="str">
        <f t="shared" si="24"/>
        <v>August</v>
      </c>
      <c r="L433">
        <f t="shared" si="25"/>
        <v>8</v>
      </c>
      <c r="M433" s="9">
        <f t="shared" si="26"/>
        <v>0.23944231765054005</v>
      </c>
      <c r="N433" s="9">
        <f t="shared" si="27"/>
        <v>1.6023495229244261E-3</v>
      </c>
    </row>
    <row r="434" spans="1:14" x14ac:dyDescent="0.35">
      <c r="A434" s="6">
        <v>45140</v>
      </c>
      <c r="B434" t="s">
        <v>10</v>
      </c>
      <c r="C434" t="s">
        <v>14</v>
      </c>
      <c r="D434" t="s">
        <v>27</v>
      </c>
      <c r="E434" t="s">
        <v>38</v>
      </c>
      <c r="F434" s="4">
        <v>3</v>
      </c>
      <c r="G434" s="4">
        <v>125906.4</v>
      </c>
      <c r="H434" s="4">
        <v>89639.61</v>
      </c>
      <c r="I434" s="8">
        <v>0.1</v>
      </c>
      <c r="J434" s="4">
        <v>36266.79</v>
      </c>
      <c r="K434" s="4" t="str">
        <f t="shared" si="24"/>
        <v>August</v>
      </c>
      <c r="L434">
        <f t="shared" si="25"/>
        <v>8</v>
      </c>
      <c r="M434" s="9">
        <f t="shared" si="26"/>
        <v>0.28804564343035782</v>
      </c>
      <c r="N434" s="9">
        <f t="shared" si="27"/>
        <v>1.1659573113922868E-3</v>
      </c>
    </row>
    <row r="435" spans="1:14" x14ac:dyDescent="0.35">
      <c r="A435" s="6">
        <v>44978</v>
      </c>
      <c r="B435" t="s">
        <v>9</v>
      </c>
      <c r="C435" t="s">
        <v>13</v>
      </c>
      <c r="D435" t="s">
        <v>25</v>
      </c>
      <c r="E435" t="s">
        <v>29</v>
      </c>
      <c r="F435" s="4">
        <v>6</v>
      </c>
      <c r="G435" s="4">
        <v>80931.899999999994</v>
      </c>
      <c r="H435" s="4">
        <v>57153.78</v>
      </c>
      <c r="I435" s="8">
        <v>0.15</v>
      </c>
      <c r="J435" s="4">
        <v>23778.12</v>
      </c>
      <c r="K435" s="4" t="str">
        <f t="shared" si="24"/>
        <v>February</v>
      </c>
      <c r="L435">
        <f t="shared" si="25"/>
        <v>2</v>
      </c>
      <c r="M435" s="9">
        <f t="shared" si="26"/>
        <v>0.293804050071727</v>
      </c>
      <c r="N435" s="9">
        <f t="shared" si="27"/>
        <v>7.4947056329042376E-4</v>
      </c>
    </row>
    <row r="436" spans="1:14" x14ac:dyDescent="0.35">
      <c r="A436" s="6">
        <v>45261</v>
      </c>
      <c r="B436" t="s">
        <v>11</v>
      </c>
      <c r="C436" t="s">
        <v>18</v>
      </c>
      <c r="D436" t="s">
        <v>28</v>
      </c>
      <c r="E436" t="s">
        <v>36</v>
      </c>
      <c r="F436" s="4">
        <v>4</v>
      </c>
      <c r="G436" s="4">
        <v>56905.8</v>
      </c>
      <c r="H436" s="4">
        <v>35611.57</v>
      </c>
      <c r="I436" s="8">
        <v>0.15</v>
      </c>
      <c r="J436" s="4">
        <v>21294.23</v>
      </c>
      <c r="K436" s="4" t="str">
        <f t="shared" si="24"/>
        <v>December</v>
      </c>
      <c r="L436">
        <f t="shared" si="25"/>
        <v>12</v>
      </c>
      <c r="M436" s="9">
        <f t="shared" si="26"/>
        <v>0.37420139950585002</v>
      </c>
      <c r="N436" s="9">
        <f t="shared" si="27"/>
        <v>5.2697665544108321E-4</v>
      </c>
    </row>
    <row r="437" spans="1:14" x14ac:dyDescent="0.35">
      <c r="A437" s="6">
        <v>45216</v>
      </c>
      <c r="B437" t="s">
        <v>10</v>
      </c>
      <c r="C437" t="s">
        <v>19</v>
      </c>
      <c r="D437" t="s">
        <v>25</v>
      </c>
      <c r="E437" t="s">
        <v>37</v>
      </c>
      <c r="F437" s="4">
        <v>5</v>
      </c>
      <c r="G437" s="4">
        <v>28927.5</v>
      </c>
      <c r="H437" s="4">
        <v>18813.330000000002</v>
      </c>
      <c r="I437" s="8">
        <v>0.05</v>
      </c>
      <c r="J437" s="4">
        <v>10114.17</v>
      </c>
      <c r="K437" s="4" t="str">
        <f t="shared" si="24"/>
        <v>October</v>
      </c>
      <c r="L437">
        <f t="shared" si="25"/>
        <v>10</v>
      </c>
      <c r="M437" s="9">
        <f t="shared" si="26"/>
        <v>0.34963857920663727</v>
      </c>
      <c r="N437" s="9">
        <f t="shared" si="27"/>
        <v>2.6788336514506318E-4</v>
      </c>
    </row>
    <row r="438" spans="1:14" x14ac:dyDescent="0.35">
      <c r="A438" s="6">
        <v>45167</v>
      </c>
      <c r="B438" t="s">
        <v>10</v>
      </c>
      <c r="C438" t="s">
        <v>19</v>
      </c>
      <c r="D438" t="s">
        <v>25</v>
      </c>
      <c r="E438" t="s">
        <v>29</v>
      </c>
      <c r="F438" s="4">
        <v>1</v>
      </c>
      <c r="G438" s="4">
        <v>14527</v>
      </c>
      <c r="H438" s="4">
        <v>9143.25</v>
      </c>
      <c r="I438" s="8">
        <v>0</v>
      </c>
      <c r="J438" s="4">
        <v>5383.75</v>
      </c>
      <c r="K438" s="4" t="str">
        <f t="shared" si="24"/>
        <v>August</v>
      </c>
      <c r="L438">
        <f t="shared" si="25"/>
        <v>8</v>
      </c>
      <c r="M438" s="9">
        <f t="shared" si="26"/>
        <v>0.37060301507537691</v>
      </c>
      <c r="N438" s="9">
        <f t="shared" si="27"/>
        <v>1.3452740974720707E-4</v>
      </c>
    </row>
    <row r="439" spans="1:14" x14ac:dyDescent="0.35">
      <c r="A439" s="6">
        <v>45232</v>
      </c>
      <c r="B439" t="s">
        <v>10</v>
      </c>
      <c r="C439" t="s">
        <v>14</v>
      </c>
      <c r="D439" t="s">
        <v>28</v>
      </c>
      <c r="E439" t="s">
        <v>36</v>
      </c>
      <c r="F439" s="4">
        <v>6</v>
      </c>
      <c r="G439" s="4">
        <v>164502</v>
      </c>
      <c r="H439" s="4">
        <v>93054.24</v>
      </c>
      <c r="I439" s="8">
        <v>0</v>
      </c>
      <c r="J439" s="4">
        <v>71447.759999999995</v>
      </c>
      <c r="K439" s="4" t="str">
        <f t="shared" si="24"/>
        <v>November</v>
      </c>
      <c r="L439">
        <f t="shared" si="25"/>
        <v>11</v>
      </c>
      <c r="M439" s="9">
        <f t="shared" si="26"/>
        <v>0.43432760695918587</v>
      </c>
      <c r="N439" s="9">
        <f t="shared" si="27"/>
        <v>1.5233722006081818E-3</v>
      </c>
    </row>
    <row r="440" spans="1:14" x14ac:dyDescent="0.35">
      <c r="A440" s="6">
        <v>44991</v>
      </c>
      <c r="B440" t="s">
        <v>11</v>
      </c>
      <c r="C440" t="s">
        <v>16</v>
      </c>
      <c r="D440" t="s">
        <v>28</v>
      </c>
      <c r="E440" t="s">
        <v>39</v>
      </c>
      <c r="F440" s="4">
        <v>4</v>
      </c>
      <c r="G440" s="4">
        <v>19638.400000000001</v>
      </c>
      <c r="H440" s="4">
        <v>11301.37</v>
      </c>
      <c r="I440" s="8">
        <v>0.15</v>
      </c>
      <c r="J440" s="4">
        <v>8337.0300000000007</v>
      </c>
      <c r="K440" s="4" t="str">
        <f t="shared" si="24"/>
        <v>March</v>
      </c>
      <c r="L440">
        <f t="shared" si="25"/>
        <v>3</v>
      </c>
      <c r="M440" s="9">
        <f t="shared" si="26"/>
        <v>0.42452694720547501</v>
      </c>
      <c r="N440" s="9">
        <f t="shared" si="27"/>
        <v>1.818615738679391E-4</v>
      </c>
    </row>
    <row r="441" spans="1:14" x14ac:dyDescent="0.35">
      <c r="A441" s="6">
        <v>45233</v>
      </c>
      <c r="B441" t="s">
        <v>9</v>
      </c>
      <c r="C441" t="s">
        <v>15</v>
      </c>
      <c r="D441" t="s">
        <v>27</v>
      </c>
      <c r="E441" t="s">
        <v>40</v>
      </c>
      <c r="F441" s="4">
        <v>2</v>
      </c>
      <c r="G441" s="4">
        <v>64244.7</v>
      </c>
      <c r="H441" s="4">
        <v>48005.77</v>
      </c>
      <c r="I441" s="8">
        <v>0.15</v>
      </c>
      <c r="J441" s="4">
        <v>16238.93</v>
      </c>
      <c r="K441" s="4" t="str">
        <f t="shared" si="24"/>
        <v>November</v>
      </c>
      <c r="L441">
        <f t="shared" si="25"/>
        <v>11</v>
      </c>
      <c r="M441" s="9">
        <f t="shared" si="26"/>
        <v>0.25276684302362684</v>
      </c>
      <c r="N441" s="9">
        <f t="shared" si="27"/>
        <v>5.9493860266995207E-4</v>
      </c>
    </row>
    <row r="442" spans="1:14" x14ac:dyDescent="0.35">
      <c r="A442" s="6">
        <v>45144</v>
      </c>
      <c r="B442" t="s">
        <v>12</v>
      </c>
      <c r="C442" t="s">
        <v>21</v>
      </c>
      <c r="D442" t="s">
        <v>27</v>
      </c>
      <c r="E442" t="s">
        <v>41</v>
      </c>
      <c r="F442" s="4">
        <v>4</v>
      </c>
      <c r="G442" s="4">
        <v>179808</v>
      </c>
      <c r="H442" s="4">
        <v>129777.29</v>
      </c>
      <c r="I442" s="8">
        <v>0</v>
      </c>
      <c r="J442" s="4">
        <v>50030.71</v>
      </c>
      <c r="K442" s="4" t="str">
        <f t="shared" si="24"/>
        <v>August</v>
      </c>
      <c r="L442">
        <f t="shared" si="25"/>
        <v>8</v>
      </c>
      <c r="M442" s="9">
        <f t="shared" si="26"/>
        <v>0.27824518375155721</v>
      </c>
      <c r="N442" s="9">
        <f t="shared" si="27"/>
        <v>1.6651135466253051E-3</v>
      </c>
    </row>
    <row r="443" spans="1:14" x14ac:dyDescent="0.35">
      <c r="A443" s="6">
        <v>45139</v>
      </c>
      <c r="B443" t="s">
        <v>12</v>
      </c>
      <c r="C443" t="s">
        <v>23</v>
      </c>
      <c r="D443" t="s">
        <v>26</v>
      </c>
      <c r="E443" t="s">
        <v>35</v>
      </c>
      <c r="F443" s="4">
        <v>1</v>
      </c>
      <c r="G443" s="4">
        <v>22779.1</v>
      </c>
      <c r="H443" s="4">
        <v>13320.74</v>
      </c>
      <c r="I443" s="8">
        <v>0.05</v>
      </c>
      <c r="J443" s="4">
        <v>9458.36</v>
      </c>
      <c r="K443" s="4" t="str">
        <f t="shared" si="24"/>
        <v>August</v>
      </c>
      <c r="L443">
        <f t="shared" si="25"/>
        <v>8</v>
      </c>
      <c r="M443" s="9">
        <f t="shared" si="26"/>
        <v>0.41522097009978448</v>
      </c>
      <c r="N443" s="9">
        <f t="shared" si="27"/>
        <v>2.1094605351226024E-4</v>
      </c>
    </row>
    <row r="444" spans="1:14" x14ac:dyDescent="0.35">
      <c r="A444" s="6">
        <v>45207</v>
      </c>
      <c r="B444" t="s">
        <v>12</v>
      </c>
      <c r="C444" t="s">
        <v>21</v>
      </c>
      <c r="D444" t="s">
        <v>27</v>
      </c>
      <c r="E444" t="s">
        <v>38</v>
      </c>
      <c r="F444" s="4">
        <v>1</v>
      </c>
      <c r="G444" s="4">
        <v>22434.3</v>
      </c>
      <c r="H444" s="4">
        <v>17671.349999999999</v>
      </c>
      <c r="I444" s="8">
        <v>0.1</v>
      </c>
      <c r="J444" s="4">
        <v>4762.95</v>
      </c>
      <c r="K444" s="4" t="str">
        <f t="shared" si="24"/>
        <v>October</v>
      </c>
      <c r="L444">
        <f t="shared" si="25"/>
        <v>10</v>
      </c>
      <c r="M444" s="9">
        <f t="shared" si="26"/>
        <v>0.21230660194434414</v>
      </c>
      <c r="N444" s="9">
        <f t="shared" si="27"/>
        <v>2.0775303011576839E-4</v>
      </c>
    </row>
    <row r="445" spans="1:14" x14ac:dyDescent="0.35">
      <c r="A445" s="6">
        <v>45027</v>
      </c>
      <c r="B445" t="s">
        <v>10</v>
      </c>
      <c r="C445" t="s">
        <v>14</v>
      </c>
      <c r="D445" t="s">
        <v>27</v>
      </c>
      <c r="E445" t="s">
        <v>31</v>
      </c>
      <c r="F445" s="4">
        <v>3</v>
      </c>
      <c r="G445" s="4">
        <v>16172.1</v>
      </c>
      <c r="H445" s="4">
        <v>12935.52</v>
      </c>
      <c r="I445" s="8">
        <v>0.15</v>
      </c>
      <c r="J445" s="4">
        <v>3236.58</v>
      </c>
      <c r="K445" s="4" t="str">
        <f t="shared" si="24"/>
        <v>April</v>
      </c>
      <c r="L445">
        <f t="shared" si="25"/>
        <v>4</v>
      </c>
      <c r="M445" s="9">
        <f t="shared" si="26"/>
        <v>0.20013356335911847</v>
      </c>
      <c r="N445" s="9">
        <f t="shared" si="27"/>
        <v>1.4976187259398412E-4</v>
      </c>
    </row>
    <row r="446" spans="1:14" x14ac:dyDescent="0.35">
      <c r="A446" s="6">
        <v>45153</v>
      </c>
      <c r="B446" t="s">
        <v>10</v>
      </c>
      <c r="C446" t="s">
        <v>22</v>
      </c>
      <c r="D446" t="s">
        <v>26</v>
      </c>
      <c r="E446" t="s">
        <v>30</v>
      </c>
      <c r="F446" s="4">
        <v>1</v>
      </c>
      <c r="G446" s="4">
        <v>1784.1</v>
      </c>
      <c r="H446" s="4">
        <v>1264.22</v>
      </c>
      <c r="I446" s="8">
        <v>0.05</v>
      </c>
      <c r="J446" s="4">
        <v>519.88</v>
      </c>
      <c r="K446" s="4" t="str">
        <f t="shared" si="24"/>
        <v>August</v>
      </c>
      <c r="L446">
        <f t="shared" si="25"/>
        <v>8</v>
      </c>
      <c r="M446" s="9">
        <f t="shared" si="26"/>
        <v>0.29139622218485511</v>
      </c>
      <c r="N446" s="9">
        <f t="shared" si="27"/>
        <v>1.6521673554759557E-5</v>
      </c>
    </row>
    <row r="447" spans="1:14" x14ac:dyDescent="0.35">
      <c r="A447" s="6">
        <v>45026</v>
      </c>
      <c r="B447" t="s">
        <v>11</v>
      </c>
      <c r="C447" t="s">
        <v>16</v>
      </c>
      <c r="D447" t="s">
        <v>26</v>
      </c>
      <c r="E447" t="s">
        <v>35</v>
      </c>
      <c r="F447" s="4">
        <v>1</v>
      </c>
      <c r="G447" s="4">
        <v>13132.8</v>
      </c>
      <c r="H447" s="4">
        <v>9035.59</v>
      </c>
      <c r="I447" s="8">
        <v>0.05</v>
      </c>
      <c r="J447" s="4">
        <v>4097.21</v>
      </c>
      <c r="K447" s="4" t="str">
        <f t="shared" si="24"/>
        <v>April</v>
      </c>
      <c r="L447">
        <f t="shared" si="25"/>
        <v>4</v>
      </c>
      <c r="M447" s="9">
        <f t="shared" si="26"/>
        <v>0.31198297392787527</v>
      </c>
      <c r="N447" s="9">
        <f t="shared" si="27"/>
        <v>1.2161640853088186E-4</v>
      </c>
    </row>
    <row r="448" spans="1:14" x14ac:dyDescent="0.35">
      <c r="A448" s="6">
        <v>45269</v>
      </c>
      <c r="B448" t="s">
        <v>9</v>
      </c>
      <c r="C448" t="s">
        <v>20</v>
      </c>
      <c r="D448" t="s">
        <v>26</v>
      </c>
      <c r="E448" t="s">
        <v>43</v>
      </c>
      <c r="F448" s="4">
        <v>1</v>
      </c>
      <c r="G448" s="4">
        <v>30654</v>
      </c>
      <c r="H448" s="4">
        <v>22961.69</v>
      </c>
      <c r="I448" s="8">
        <v>0</v>
      </c>
      <c r="J448" s="4">
        <v>7692.31</v>
      </c>
      <c r="K448" s="4" t="str">
        <f t="shared" si="24"/>
        <v>December</v>
      </c>
      <c r="L448">
        <f t="shared" si="25"/>
        <v>12</v>
      </c>
      <c r="M448" s="9">
        <f t="shared" si="26"/>
        <v>0.25093984471847069</v>
      </c>
      <c r="N448" s="9">
        <f t="shared" si="27"/>
        <v>2.8387163339924868E-4</v>
      </c>
    </row>
    <row r="449" spans="1:14" x14ac:dyDescent="0.35">
      <c r="A449" s="6">
        <v>45252</v>
      </c>
      <c r="B449" t="s">
        <v>12</v>
      </c>
      <c r="C449" t="s">
        <v>23</v>
      </c>
      <c r="D449" t="s">
        <v>28</v>
      </c>
      <c r="E449" t="s">
        <v>39</v>
      </c>
      <c r="F449" s="4">
        <v>7</v>
      </c>
      <c r="G449" s="4">
        <v>206143.35</v>
      </c>
      <c r="H449" s="4">
        <v>151365.73000000001</v>
      </c>
      <c r="I449" s="8">
        <v>0.05</v>
      </c>
      <c r="J449" s="4">
        <v>54777.62</v>
      </c>
      <c r="K449" s="4" t="str">
        <f t="shared" si="24"/>
        <v>November</v>
      </c>
      <c r="L449">
        <f t="shared" si="25"/>
        <v>11</v>
      </c>
      <c r="M449" s="9">
        <f t="shared" si="26"/>
        <v>0.26572586503518064</v>
      </c>
      <c r="N449" s="9">
        <f t="shared" si="27"/>
        <v>1.9089922841682328E-3</v>
      </c>
    </row>
    <row r="450" spans="1:14" x14ac:dyDescent="0.35">
      <c r="A450" s="6">
        <v>45153</v>
      </c>
      <c r="B450" t="s">
        <v>11</v>
      </c>
      <c r="C450" t="s">
        <v>16</v>
      </c>
      <c r="D450" t="s">
        <v>26</v>
      </c>
      <c r="E450" t="s">
        <v>30</v>
      </c>
      <c r="F450" s="4">
        <v>6</v>
      </c>
      <c r="G450" s="4">
        <v>43425.599999999999</v>
      </c>
      <c r="H450" s="4">
        <v>27004.31</v>
      </c>
      <c r="I450" s="8">
        <v>0.2</v>
      </c>
      <c r="J450" s="4">
        <v>16421.29</v>
      </c>
      <c r="K450" s="4" t="str">
        <f t="shared" si="24"/>
        <v>August</v>
      </c>
      <c r="L450">
        <f t="shared" si="25"/>
        <v>8</v>
      </c>
      <c r="M450" s="9">
        <f t="shared" si="26"/>
        <v>0.37814768247301134</v>
      </c>
      <c r="N450" s="9">
        <f t="shared" si="27"/>
        <v>4.0214314619111411E-4</v>
      </c>
    </row>
    <row r="451" spans="1:14" x14ac:dyDescent="0.35">
      <c r="A451" s="6">
        <v>44979</v>
      </c>
      <c r="B451" t="s">
        <v>12</v>
      </c>
      <c r="C451" t="s">
        <v>23</v>
      </c>
      <c r="D451" t="s">
        <v>27</v>
      </c>
      <c r="E451" t="s">
        <v>41</v>
      </c>
      <c r="F451" s="4">
        <v>6</v>
      </c>
      <c r="G451" s="4">
        <v>167716.79999999999</v>
      </c>
      <c r="H451" s="4">
        <v>103464.19</v>
      </c>
      <c r="I451" s="8">
        <v>0.2</v>
      </c>
      <c r="J451" s="4">
        <v>64252.61</v>
      </c>
      <c r="K451" s="4" t="str">
        <f t="shared" ref="K451:K514" si="28">TEXT(A451,"mmmm")</f>
        <v>February</v>
      </c>
      <c r="L451">
        <f t="shared" ref="L451:L514" si="29">MONTH(A451)</f>
        <v>2</v>
      </c>
      <c r="M451" s="9">
        <f t="shared" ref="M451:M514" si="30">J451/G451</f>
        <v>0.38310181210230582</v>
      </c>
      <c r="N451" s="9">
        <f t="shared" ref="N451:N514" si="31">G451/SUM(G:G)</f>
        <v>1.5531428839464705E-3</v>
      </c>
    </row>
    <row r="452" spans="1:14" x14ac:dyDescent="0.35">
      <c r="A452" s="6">
        <v>45282</v>
      </c>
      <c r="B452" t="s">
        <v>10</v>
      </c>
      <c r="C452" t="s">
        <v>19</v>
      </c>
      <c r="D452" t="s">
        <v>27</v>
      </c>
      <c r="E452" t="s">
        <v>38</v>
      </c>
      <c r="F452" s="4">
        <v>6</v>
      </c>
      <c r="G452" s="4">
        <v>106584.3</v>
      </c>
      <c r="H452" s="4">
        <v>59136.37</v>
      </c>
      <c r="I452" s="8">
        <v>0.05</v>
      </c>
      <c r="J452" s="4">
        <v>47447.93</v>
      </c>
      <c r="K452" s="4" t="str">
        <f t="shared" si="28"/>
        <v>December</v>
      </c>
      <c r="L452">
        <f t="shared" si="29"/>
        <v>12</v>
      </c>
      <c r="M452" s="9">
        <f t="shared" si="30"/>
        <v>0.4451680969898944</v>
      </c>
      <c r="N452" s="9">
        <f t="shared" si="31"/>
        <v>9.8702483642315987E-4</v>
      </c>
    </row>
    <row r="453" spans="1:14" x14ac:dyDescent="0.35">
      <c r="A453" s="6">
        <v>44950</v>
      </c>
      <c r="B453" t="s">
        <v>10</v>
      </c>
      <c r="C453" t="s">
        <v>19</v>
      </c>
      <c r="D453" t="s">
        <v>25</v>
      </c>
      <c r="E453" t="s">
        <v>33</v>
      </c>
      <c r="F453" s="4">
        <v>3</v>
      </c>
      <c r="G453" s="4">
        <v>106278</v>
      </c>
      <c r="H453" s="4">
        <v>82526.62</v>
      </c>
      <c r="I453" s="8">
        <v>0</v>
      </c>
      <c r="J453" s="4">
        <v>23751.38</v>
      </c>
      <c r="K453" s="4" t="str">
        <f t="shared" si="28"/>
        <v>January</v>
      </c>
      <c r="L453">
        <f t="shared" si="29"/>
        <v>1</v>
      </c>
      <c r="M453" s="9">
        <f t="shared" si="30"/>
        <v>0.22348350552325036</v>
      </c>
      <c r="N453" s="9">
        <f t="shared" si="31"/>
        <v>9.8418834261125294E-4</v>
      </c>
    </row>
    <row r="454" spans="1:14" x14ac:dyDescent="0.35">
      <c r="A454" s="6">
        <v>45266</v>
      </c>
      <c r="B454" t="s">
        <v>12</v>
      </c>
      <c r="C454" t="s">
        <v>21</v>
      </c>
      <c r="D454" t="s">
        <v>27</v>
      </c>
      <c r="E454" t="s">
        <v>31</v>
      </c>
      <c r="F454" s="4">
        <v>2</v>
      </c>
      <c r="G454" s="4">
        <v>38271.699999999997</v>
      </c>
      <c r="H454" s="4">
        <v>27532.11</v>
      </c>
      <c r="I454" s="8">
        <v>0.05</v>
      </c>
      <c r="J454" s="4">
        <v>10739.59</v>
      </c>
      <c r="K454" s="4" t="str">
        <f t="shared" si="28"/>
        <v>December</v>
      </c>
      <c r="L454">
        <f t="shared" si="29"/>
        <v>12</v>
      </c>
      <c r="M454" s="9">
        <f t="shared" si="30"/>
        <v>0.28061439653843445</v>
      </c>
      <c r="N454" s="9">
        <f t="shared" si="31"/>
        <v>3.5441541045103494E-4</v>
      </c>
    </row>
    <row r="455" spans="1:14" x14ac:dyDescent="0.35">
      <c r="A455" s="6">
        <v>45107</v>
      </c>
      <c r="B455" t="s">
        <v>9</v>
      </c>
      <c r="C455" t="s">
        <v>15</v>
      </c>
      <c r="D455" t="s">
        <v>27</v>
      </c>
      <c r="E455" t="s">
        <v>31</v>
      </c>
      <c r="F455" s="4">
        <v>4</v>
      </c>
      <c r="G455" s="4">
        <v>11033</v>
      </c>
      <c r="H455" s="4">
        <v>6414.45</v>
      </c>
      <c r="I455" s="8">
        <v>0.15</v>
      </c>
      <c r="J455" s="4">
        <v>4618.55</v>
      </c>
      <c r="K455" s="4" t="str">
        <f t="shared" si="28"/>
        <v>June</v>
      </c>
      <c r="L455">
        <f t="shared" si="29"/>
        <v>6</v>
      </c>
      <c r="M455" s="9">
        <f t="shared" si="30"/>
        <v>0.41861234478383036</v>
      </c>
      <c r="N455" s="9">
        <f t="shared" si="31"/>
        <v>1.0217119238252465E-4</v>
      </c>
    </row>
    <row r="456" spans="1:14" x14ac:dyDescent="0.35">
      <c r="A456" s="6">
        <v>44981</v>
      </c>
      <c r="B456" t="s">
        <v>10</v>
      </c>
      <c r="C456" t="s">
        <v>22</v>
      </c>
      <c r="D456" t="s">
        <v>25</v>
      </c>
      <c r="E456" t="s">
        <v>32</v>
      </c>
      <c r="F456" s="4">
        <v>1</v>
      </c>
      <c r="G456" s="4">
        <v>24492.799999999999</v>
      </c>
      <c r="H456" s="4">
        <v>15563.97</v>
      </c>
      <c r="I456" s="8">
        <v>0.2</v>
      </c>
      <c r="J456" s="4">
        <v>8928.83</v>
      </c>
      <c r="K456" s="4" t="str">
        <f t="shared" si="28"/>
        <v>February</v>
      </c>
      <c r="L456">
        <f t="shared" si="29"/>
        <v>2</v>
      </c>
      <c r="M456" s="9">
        <f t="shared" si="30"/>
        <v>0.3645491736347008</v>
      </c>
      <c r="N456" s="9">
        <f t="shared" si="31"/>
        <v>2.2681578725520707E-4</v>
      </c>
    </row>
    <row r="457" spans="1:14" x14ac:dyDescent="0.35">
      <c r="A457" s="6">
        <v>45061</v>
      </c>
      <c r="B457" t="s">
        <v>10</v>
      </c>
      <c r="C457" t="s">
        <v>22</v>
      </c>
      <c r="D457" t="s">
        <v>26</v>
      </c>
      <c r="E457" t="s">
        <v>43</v>
      </c>
      <c r="F457" s="4">
        <v>6</v>
      </c>
      <c r="G457" s="4">
        <v>35937</v>
      </c>
      <c r="H457" s="4">
        <v>25721.97</v>
      </c>
      <c r="I457" s="8">
        <v>0.1</v>
      </c>
      <c r="J457" s="4">
        <v>10215.030000000001</v>
      </c>
      <c r="K457" s="4" t="str">
        <f t="shared" si="28"/>
        <v>May</v>
      </c>
      <c r="L457">
        <f t="shared" si="29"/>
        <v>5</v>
      </c>
      <c r="M457" s="9">
        <f t="shared" si="30"/>
        <v>0.28424826780198681</v>
      </c>
      <c r="N457" s="9">
        <f t="shared" si="31"/>
        <v>3.3279490081127418E-4</v>
      </c>
    </row>
    <row r="458" spans="1:14" x14ac:dyDescent="0.35">
      <c r="A458" s="6">
        <v>44971</v>
      </c>
      <c r="B458" t="s">
        <v>11</v>
      </c>
      <c r="C458" t="s">
        <v>17</v>
      </c>
      <c r="D458" t="s">
        <v>25</v>
      </c>
      <c r="E458" t="s">
        <v>33</v>
      </c>
      <c r="F458" s="4">
        <v>3</v>
      </c>
      <c r="G458" s="4">
        <v>71409</v>
      </c>
      <c r="H458" s="4">
        <v>50096.03</v>
      </c>
      <c r="I458" s="8">
        <v>0</v>
      </c>
      <c r="J458" s="4">
        <v>21312.97</v>
      </c>
      <c r="K458" s="4" t="str">
        <f t="shared" si="28"/>
        <v>February</v>
      </c>
      <c r="L458">
        <f t="shared" si="29"/>
        <v>2</v>
      </c>
      <c r="M458" s="9">
        <f t="shared" si="30"/>
        <v>0.29846335896035514</v>
      </c>
      <c r="N458" s="9">
        <f t="shared" si="31"/>
        <v>6.6128366508145587E-4</v>
      </c>
    </row>
    <row r="459" spans="1:14" x14ac:dyDescent="0.35">
      <c r="A459" s="6">
        <v>45152</v>
      </c>
      <c r="B459" t="s">
        <v>10</v>
      </c>
      <c r="C459" t="s">
        <v>22</v>
      </c>
      <c r="D459" t="s">
        <v>26</v>
      </c>
      <c r="E459" t="s">
        <v>30</v>
      </c>
      <c r="F459" s="4">
        <v>3</v>
      </c>
      <c r="G459" s="4">
        <v>87216</v>
      </c>
      <c r="H459" s="4">
        <v>68407.399999999994</v>
      </c>
      <c r="I459" s="8">
        <v>0</v>
      </c>
      <c r="J459" s="4">
        <v>18808.599999999999</v>
      </c>
      <c r="K459" s="4" t="str">
        <f t="shared" si="28"/>
        <v>August</v>
      </c>
      <c r="L459">
        <f t="shared" si="29"/>
        <v>8</v>
      </c>
      <c r="M459" s="9">
        <f t="shared" si="30"/>
        <v>0.21565538433314987</v>
      </c>
      <c r="N459" s="9">
        <f t="shared" si="31"/>
        <v>8.0766452595253059E-4</v>
      </c>
    </row>
    <row r="460" spans="1:14" x14ac:dyDescent="0.35">
      <c r="A460" s="6">
        <v>45030</v>
      </c>
      <c r="B460" t="s">
        <v>11</v>
      </c>
      <c r="C460" t="s">
        <v>16</v>
      </c>
      <c r="D460" t="s">
        <v>25</v>
      </c>
      <c r="E460" t="s">
        <v>37</v>
      </c>
      <c r="F460" s="4">
        <v>7</v>
      </c>
      <c r="G460" s="4">
        <v>329620.55</v>
      </c>
      <c r="H460" s="4">
        <v>229268.3</v>
      </c>
      <c r="I460" s="8">
        <v>0.05</v>
      </c>
      <c r="J460" s="4">
        <v>100352.25</v>
      </c>
      <c r="K460" s="4" t="str">
        <f t="shared" si="28"/>
        <v>April</v>
      </c>
      <c r="L460">
        <f t="shared" si="29"/>
        <v>4</v>
      </c>
      <c r="M460" s="9">
        <f t="shared" si="30"/>
        <v>0.30444779610979961</v>
      </c>
      <c r="N460" s="9">
        <f t="shared" si="31"/>
        <v>3.0524539678495046E-3</v>
      </c>
    </row>
    <row r="461" spans="1:14" x14ac:dyDescent="0.35">
      <c r="A461" s="6">
        <v>44954</v>
      </c>
      <c r="B461" t="s">
        <v>12</v>
      </c>
      <c r="C461" t="s">
        <v>21</v>
      </c>
      <c r="D461" t="s">
        <v>27</v>
      </c>
      <c r="E461" t="s">
        <v>31</v>
      </c>
      <c r="F461" s="4">
        <v>4</v>
      </c>
      <c r="G461" s="4">
        <v>47595.6</v>
      </c>
      <c r="H461" s="4">
        <v>37633.46</v>
      </c>
      <c r="I461" s="8">
        <v>0.1</v>
      </c>
      <c r="J461" s="4">
        <v>9962.14</v>
      </c>
      <c r="K461" s="4" t="str">
        <f t="shared" si="28"/>
        <v>January</v>
      </c>
      <c r="L461">
        <f t="shared" si="29"/>
        <v>1</v>
      </c>
      <c r="M461" s="9">
        <f t="shared" si="30"/>
        <v>0.20930800326080562</v>
      </c>
      <c r="N461" s="9">
        <f t="shared" si="31"/>
        <v>4.4075946743058912E-4</v>
      </c>
    </row>
    <row r="462" spans="1:14" x14ac:dyDescent="0.35">
      <c r="A462" s="6">
        <v>44951</v>
      </c>
      <c r="B462" t="s">
        <v>10</v>
      </c>
      <c r="C462" t="s">
        <v>14</v>
      </c>
      <c r="D462" t="s">
        <v>27</v>
      </c>
      <c r="E462" t="s">
        <v>40</v>
      </c>
      <c r="F462" s="4">
        <v>2</v>
      </c>
      <c r="G462" s="4">
        <v>15502.1</v>
      </c>
      <c r="H462" s="4">
        <v>11998.92</v>
      </c>
      <c r="I462" s="8">
        <v>0.05</v>
      </c>
      <c r="J462" s="4">
        <v>3503.18</v>
      </c>
      <c r="K462" s="4" t="str">
        <f t="shared" si="28"/>
        <v>January</v>
      </c>
      <c r="L462">
        <f t="shared" si="29"/>
        <v>1</v>
      </c>
      <c r="M462" s="9">
        <f t="shared" si="30"/>
        <v>0.22598099612310588</v>
      </c>
      <c r="N462" s="9">
        <f t="shared" si="31"/>
        <v>1.4355733177133466E-4</v>
      </c>
    </row>
    <row r="463" spans="1:14" x14ac:dyDescent="0.35">
      <c r="A463" s="6">
        <v>44994</v>
      </c>
      <c r="B463" t="s">
        <v>10</v>
      </c>
      <c r="C463" t="s">
        <v>22</v>
      </c>
      <c r="D463" t="s">
        <v>27</v>
      </c>
      <c r="E463" t="s">
        <v>40</v>
      </c>
      <c r="F463" s="4">
        <v>3</v>
      </c>
      <c r="G463" s="4">
        <v>100608</v>
      </c>
      <c r="H463" s="4">
        <v>68596.17</v>
      </c>
      <c r="I463" s="8">
        <v>0.2</v>
      </c>
      <c r="J463" s="4">
        <v>32011.83</v>
      </c>
      <c r="K463" s="4" t="str">
        <f t="shared" si="28"/>
        <v>March</v>
      </c>
      <c r="L463">
        <f t="shared" si="29"/>
        <v>3</v>
      </c>
      <c r="M463" s="9">
        <f t="shared" si="30"/>
        <v>0.31818374284351147</v>
      </c>
      <c r="N463" s="9">
        <f t="shared" si="31"/>
        <v>9.3168125833599567E-4</v>
      </c>
    </row>
    <row r="464" spans="1:14" x14ac:dyDescent="0.35">
      <c r="A464" s="6">
        <v>45114</v>
      </c>
      <c r="B464" t="s">
        <v>9</v>
      </c>
      <c r="C464" t="s">
        <v>15</v>
      </c>
      <c r="D464" t="s">
        <v>26</v>
      </c>
      <c r="E464" t="s">
        <v>35</v>
      </c>
      <c r="F464" s="4">
        <v>3</v>
      </c>
      <c r="G464" s="4">
        <v>87567</v>
      </c>
      <c r="H464" s="4">
        <v>55546.82</v>
      </c>
      <c r="I464" s="8">
        <v>0.15</v>
      </c>
      <c r="J464" s="4">
        <v>32020.18</v>
      </c>
      <c r="K464" s="4" t="str">
        <f t="shared" si="28"/>
        <v>July</v>
      </c>
      <c r="L464">
        <f t="shared" si="29"/>
        <v>7</v>
      </c>
      <c r="M464" s="9">
        <f t="shared" si="30"/>
        <v>0.36566491943311979</v>
      </c>
      <c r="N464" s="9">
        <f t="shared" si="31"/>
        <v>8.1091496450290369E-4</v>
      </c>
    </row>
    <row r="465" spans="1:14" x14ac:dyDescent="0.35">
      <c r="A465" s="6">
        <v>44931</v>
      </c>
      <c r="B465" t="s">
        <v>12</v>
      </c>
      <c r="C465" t="s">
        <v>21</v>
      </c>
      <c r="D465" t="s">
        <v>25</v>
      </c>
      <c r="E465" t="s">
        <v>33</v>
      </c>
      <c r="F465" s="4">
        <v>6</v>
      </c>
      <c r="G465" s="4">
        <v>208511.7</v>
      </c>
      <c r="H465" s="4">
        <v>122360.04</v>
      </c>
      <c r="I465" s="8">
        <v>0.05</v>
      </c>
      <c r="J465" s="4">
        <v>86151.66</v>
      </c>
      <c r="K465" s="4" t="str">
        <f t="shared" si="28"/>
        <v>January</v>
      </c>
      <c r="L465">
        <f t="shared" si="29"/>
        <v>1</v>
      </c>
      <c r="M465" s="9">
        <f t="shared" si="30"/>
        <v>0.41317422475573312</v>
      </c>
      <c r="N465" s="9">
        <f t="shared" si="31"/>
        <v>1.9309244099254296E-3</v>
      </c>
    </row>
    <row r="466" spans="1:14" x14ac:dyDescent="0.35">
      <c r="A466" s="6">
        <v>45152</v>
      </c>
      <c r="B466" t="s">
        <v>11</v>
      </c>
      <c r="C466" t="s">
        <v>16</v>
      </c>
      <c r="D466" t="s">
        <v>25</v>
      </c>
      <c r="E466" t="s">
        <v>37</v>
      </c>
      <c r="F466" s="4">
        <v>6</v>
      </c>
      <c r="G466" s="4">
        <v>199294.8</v>
      </c>
      <c r="H466" s="4">
        <v>124654.75</v>
      </c>
      <c r="I466" s="8">
        <v>0.05</v>
      </c>
      <c r="J466" s="4">
        <v>74640.05</v>
      </c>
      <c r="K466" s="4" t="str">
        <f t="shared" si="28"/>
        <v>August</v>
      </c>
      <c r="L466">
        <f t="shared" si="29"/>
        <v>8</v>
      </c>
      <c r="M466" s="9">
        <f t="shared" si="30"/>
        <v>0.37452081037739071</v>
      </c>
      <c r="N466" s="9">
        <f t="shared" si="31"/>
        <v>1.8455712273757611E-3</v>
      </c>
    </row>
    <row r="467" spans="1:14" x14ac:dyDescent="0.35">
      <c r="A467" s="6">
        <v>45228</v>
      </c>
      <c r="B467" t="s">
        <v>9</v>
      </c>
      <c r="C467" t="s">
        <v>13</v>
      </c>
      <c r="D467" t="s">
        <v>28</v>
      </c>
      <c r="E467" t="s">
        <v>39</v>
      </c>
      <c r="F467" s="4">
        <v>6</v>
      </c>
      <c r="G467" s="4">
        <v>157183.20000000001</v>
      </c>
      <c r="H467" s="4">
        <v>107940.05</v>
      </c>
      <c r="I467" s="8">
        <v>0.05</v>
      </c>
      <c r="J467" s="4">
        <v>49243.15</v>
      </c>
      <c r="K467" s="4" t="str">
        <f t="shared" si="28"/>
        <v>October</v>
      </c>
      <c r="L467">
        <f t="shared" si="29"/>
        <v>10</v>
      </c>
      <c r="M467" s="9">
        <f t="shared" si="30"/>
        <v>0.31328507117809029</v>
      </c>
      <c r="N467" s="9">
        <f t="shared" si="31"/>
        <v>1.4555963896039925E-3</v>
      </c>
    </row>
    <row r="468" spans="1:14" x14ac:dyDescent="0.35">
      <c r="A468" s="6">
        <v>45161</v>
      </c>
      <c r="B468" t="s">
        <v>12</v>
      </c>
      <c r="C468" t="s">
        <v>21</v>
      </c>
      <c r="D468" t="s">
        <v>28</v>
      </c>
      <c r="E468" t="s">
        <v>42</v>
      </c>
      <c r="F468" s="4">
        <v>6</v>
      </c>
      <c r="G468" s="4">
        <v>186744</v>
      </c>
      <c r="H468" s="4">
        <v>125180.73</v>
      </c>
      <c r="I468" s="8">
        <v>0.2</v>
      </c>
      <c r="J468" s="4">
        <v>61563.27</v>
      </c>
      <c r="K468" s="4" t="str">
        <f t="shared" si="28"/>
        <v>August</v>
      </c>
      <c r="L468">
        <f t="shared" si="29"/>
        <v>8</v>
      </c>
      <c r="M468" s="9">
        <f t="shared" si="30"/>
        <v>0.32966665595681788</v>
      </c>
      <c r="N468" s="9">
        <f t="shared" si="31"/>
        <v>1.729344434902763E-3</v>
      </c>
    </row>
    <row r="469" spans="1:14" x14ac:dyDescent="0.35">
      <c r="A469" s="6">
        <v>45082</v>
      </c>
      <c r="B469" t="s">
        <v>11</v>
      </c>
      <c r="C469" t="s">
        <v>16</v>
      </c>
      <c r="D469" t="s">
        <v>27</v>
      </c>
      <c r="E469" t="s">
        <v>31</v>
      </c>
      <c r="F469" s="4">
        <v>3</v>
      </c>
      <c r="G469" s="4">
        <v>78249.600000000006</v>
      </c>
      <c r="H469" s="4">
        <v>59739.360000000001</v>
      </c>
      <c r="I469" s="8">
        <v>0.05</v>
      </c>
      <c r="J469" s="4">
        <v>18510.240000000002</v>
      </c>
      <c r="K469" s="4" t="str">
        <f t="shared" si="28"/>
        <v>June</v>
      </c>
      <c r="L469">
        <f t="shared" si="29"/>
        <v>6</v>
      </c>
      <c r="M469" s="9">
        <f t="shared" si="30"/>
        <v>0.23655379708011287</v>
      </c>
      <c r="N469" s="9">
        <f t="shared" si="31"/>
        <v>7.2463110082983785E-4</v>
      </c>
    </row>
    <row r="470" spans="1:14" x14ac:dyDescent="0.35">
      <c r="A470" s="6">
        <v>45258</v>
      </c>
      <c r="B470" t="s">
        <v>11</v>
      </c>
      <c r="C470" t="s">
        <v>18</v>
      </c>
      <c r="D470" t="s">
        <v>27</v>
      </c>
      <c r="E470" t="s">
        <v>31</v>
      </c>
      <c r="F470" s="4">
        <v>4</v>
      </c>
      <c r="G470" s="4">
        <v>94863.6</v>
      </c>
      <c r="H470" s="4">
        <v>75443.69</v>
      </c>
      <c r="I470" s="8">
        <v>0.1</v>
      </c>
      <c r="J470" s="4">
        <v>19419.91</v>
      </c>
      <c r="K470" s="4" t="str">
        <f t="shared" si="28"/>
        <v>November</v>
      </c>
      <c r="L470">
        <f t="shared" si="29"/>
        <v>11</v>
      </c>
      <c r="M470" s="9">
        <f t="shared" si="30"/>
        <v>0.20471403151472217</v>
      </c>
      <c r="N470" s="9">
        <f t="shared" si="31"/>
        <v>8.7848519221416345E-4</v>
      </c>
    </row>
    <row r="471" spans="1:14" x14ac:dyDescent="0.35">
      <c r="A471" s="6">
        <v>45186</v>
      </c>
      <c r="B471" t="s">
        <v>9</v>
      </c>
      <c r="C471" t="s">
        <v>13</v>
      </c>
      <c r="D471" t="s">
        <v>27</v>
      </c>
      <c r="E471" t="s">
        <v>41</v>
      </c>
      <c r="F471" s="4">
        <v>3</v>
      </c>
      <c r="G471" s="4">
        <v>112204.5</v>
      </c>
      <c r="H471" s="4">
        <v>89235.62</v>
      </c>
      <c r="I471" s="8">
        <v>0.05</v>
      </c>
      <c r="J471" s="4">
        <v>22968.880000000001</v>
      </c>
      <c r="K471" s="4" t="str">
        <f t="shared" si="28"/>
        <v>September</v>
      </c>
      <c r="L471">
        <f t="shared" si="29"/>
        <v>9</v>
      </c>
      <c r="M471" s="9">
        <f t="shared" si="30"/>
        <v>0.20470551537594303</v>
      </c>
      <c r="N471" s="9">
        <f t="shared" si="31"/>
        <v>1.0390707473656292E-3</v>
      </c>
    </row>
    <row r="472" spans="1:14" x14ac:dyDescent="0.35">
      <c r="A472" s="6">
        <v>45171</v>
      </c>
      <c r="B472" t="s">
        <v>11</v>
      </c>
      <c r="C472" t="s">
        <v>17</v>
      </c>
      <c r="D472" t="s">
        <v>27</v>
      </c>
      <c r="E472" t="s">
        <v>40</v>
      </c>
      <c r="F472" s="4">
        <v>5</v>
      </c>
      <c r="G472" s="4">
        <v>142505</v>
      </c>
      <c r="H472" s="4">
        <v>112583.78</v>
      </c>
      <c r="I472" s="8">
        <v>0</v>
      </c>
      <c r="J472" s="4">
        <v>29921.22</v>
      </c>
      <c r="K472" s="4" t="str">
        <f t="shared" si="28"/>
        <v>September</v>
      </c>
      <c r="L472">
        <f t="shared" si="29"/>
        <v>9</v>
      </c>
      <c r="M472" s="9">
        <f t="shared" si="30"/>
        <v>0.20996610645240518</v>
      </c>
      <c r="N472" s="9">
        <f t="shared" si="31"/>
        <v>1.3196687909427785E-3</v>
      </c>
    </row>
    <row r="473" spans="1:14" x14ac:dyDescent="0.35">
      <c r="A473" s="6">
        <v>45247</v>
      </c>
      <c r="B473" t="s">
        <v>11</v>
      </c>
      <c r="C473" t="s">
        <v>18</v>
      </c>
      <c r="D473" t="s">
        <v>28</v>
      </c>
      <c r="E473" t="s">
        <v>42</v>
      </c>
      <c r="F473" s="4">
        <v>5</v>
      </c>
      <c r="G473" s="4">
        <v>81995.25</v>
      </c>
      <c r="H473" s="4">
        <v>50167.57</v>
      </c>
      <c r="I473" s="8">
        <v>0.15</v>
      </c>
      <c r="J473" s="4">
        <v>31827.68</v>
      </c>
      <c r="K473" s="4" t="str">
        <f t="shared" si="28"/>
        <v>November</v>
      </c>
      <c r="L473">
        <f t="shared" si="29"/>
        <v>11</v>
      </c>
      <c r="M473" s="9">
        <f t="shared" si="30"/>
        <v>0.38816492418768161</v>
      </c>
      <c r="N473" s="9">
        <f t="shared" si="31"/>
        <v>7.5931772520649004E-4</v>
      </c>
    </row>
    <row r="474" spans="1:14" x14ac:dyDescent="0.35">
      <c r="A474" s="6">
        <v>45012</v>
      </c>
      <c r="B474" t="s">
        <v>9</v>
      </c>
      <c r="C474" t="s">
        <v>15</v>
      </c>
      <c r="D474" t="s">
        <v>27</v>
      </c>
      <c r="E474" t="s">
        <v>40</v>
      </c>
      <c r="F474" s="4">
        <v>4</v>
      </c>
      <c r="G474" s="4">
        <v>109238.6</v>
      </c>
      <c r="H474" s="4">
        <v>81154.09</v>
      </c>
      <c r="I474" s="8">
        <v>0.05</v>
      </c>
      <c r="J474" s="4">
        <v>28084.51</v>
      </c>
      <c r="K474" s="4" t="str">
        <f t="shared" si="28"/>
        <v>March</v>
      </c>
      <c r="L474">
        <f t="shared" si="29"/>
        <v>3</v>
      </c>
      <c r="M474" s="9">
        <f t="shared" si="30"/>
        <v>0.25709328021413674</v>
      </c>
      <c r="N474" s="9">
        <f t="shared" si="31"/>
        <v>1.0116050046404114E-3</v>
      </c>
    </row>
    <row r="475" spans="1:14" x14ac:dyDescent="0.35">
      <c r="A475" s="6">
        <v>45181</v>
      </c>
      <c r="B475" t="s">
        <v>11</v>
      </c>
      <c r="C475" t="s">
        <v>16</v>
      </c>
      <c r="D475" t="s">
        <v>27</v>
      </c>
      <c r="E475" t="s">
        <v>41</v>
      </c>
      <c r="F475" s="4">
        <v>4</v>
      </c>
      <c r="G475" s="4">
        <v>62968</v>
      </c>
      <c r="H475" s="4">
        <v>49212.55</v>
      </c>
      <c r="I475" s="8">
        <v>0.15</v>
      </c>
      <c r="J475" s="4">
        <v>13755.45</v>
      </c>
      <c r="K475" s="4" t="str">
        <f t="shared" si="28"/>
        <v>September</v>
      </c>
      <c r="L475">
        <f t="shared" si="29"/>
        <v>9</v>
      </c>
      <c r="M475" s="9">
        <f t="shared" si="30"/>
        <v>0.21845143564985389</v>
      </c>
      <c r="N475" s="9">
        <f t="shared" si="31"/>
        <v>5.8311571122476316E-4</v>
      </c>
    </row>
    <row r="476" spans="1:14" x14ac:dyDescent="0.35">
      <c r="A476" s="6">
        <v>45017</v>
      </c>
      <c r="B476" t="s">
        <v>9</v>
      </c>
      <c r="C476" t="s">
        <v>13</v>
      </c>
      <c r="D476" t="s">
        <v>26</v>
      </c>
      <c r="E476" t="s">
        <v>34</v>
      </c>
      <c r="F476" s="4">
        <v>4</v>
      </c>
      <c r="G476" s="4">
        <v>20774.599999999999</v>
      </c>
      <c r="H476" s="4">
        <v>14099.12</v>
      </c>
      <c r="I476" s="8">
        <v>0.05</v>
      </c>
      <c r="J476" s="4">
        <v>6675.48</v>
      </c>
      <c r="K476" s="4" t="str">
        <f t="shared" si="28"/>
        <v>April</v>
      </c>
      <c r="L476">
        <f t="shared" si="29"/>
        <v>4</v>
      </c>
      <c r="M476" s="9">
        <f t="shared" si="30"/>
        <v>0.32132893052092459</v>
      </c>
      <c r="N476" s="9">
        <f t="shared" si="31"/>
        <v>1.923833638421097E-4</v>
      </c>
    </row>
    <row r="477" spans="1:14" x14ac:dyDescent="0.35">
      <c r="A477" s="6">
        <v>44936</v>
      </c>
      <c r="B477" t="s">
        <v>10</v>
      </c>
      <c r="C477" t="s">
        <v>14</v>
      </c>
      <c r="D477" t="s">
        <v>25</v>
      </c>
      <c r="E477" t="s">
        <v>33</v>
      </c>
      <c r="F477" s="4">
        <v>5</v>
      </c>
      <c r="G477" s="4">
        <v>173765.5</v>
      </c>
      <c r="H477" s="4">
        <v>124348.07</v>
      </c>
      <c r="I477" s="8">
        <v>0.15</v>
      </c>
      <c r="J477" s="4">
        <v>49417.43</v>
      </c>
      <c r="K477" s="4" t="str">
        <f t="shared" si="28"/>
        <v>January</v>
      </c>
      <c r="L477">
        <f t="shared" si="29"/>
        <v>1</v>
      </c>
      <c r="M477" s="9">
        <f t="shared" si="30"/>
        <v>0.28439149313298667</v>
      </c>
      <c r="N477" s="9">
        <f t="shared" si="31"/>
        <v>1.6091569228628285E-3</v>
      </c>
    </row>
    <row r="478" spans="1:14" x14ac:dyDescent="0.35">
      <c r="A478" s="6">
        <v>45086</v>
      </c>
      <c r="B478" t="s">
        <v>11</v>
      </c>
      <c r="C478" t="s">
        <v>16</v>
      </c>
      <c r="D478" t="s">
        <v>28</v>
      </c>
      <c r="E478" t="s">
        <v>44</v>
      </c>
      <c r="F478" s="4">
        <v>7</v>
      </c>
      <c r="G478" s="4">
        <v>171184.3</v>
      </c>
      <c r="H478" s="4">
        <v>136658.78</v>
      </c>
      <c r="I478" s="8">
        <v>0.05</v>
      </c>
      <c r="J478" s="4">
        <v>34525.519999999997</v>
      </c>
      <c r="K478" s="4" t="str">
        <f t="shared" si="28"/>
        <v>June</v>
      </c>
      <c r="L478">
        <f t="shared" si="29"/>
        <v>6</v>
      </c>
      <c r="M478" s="9">
        <f t="shared" si="30"/>
        <v>0.20168625276967572</v>
      </c>
      <c r="N478" s="9">
        <f t="shared" si="31"/>
        <v>1.5852536978308541E-3</v>
      </c>
    </row>
    <row r="479" spans="1:14" x14ac:dyDescent="0.35">
      <c r="A479" s="6">
        <v>45089</v>
      </c>
      <c r="B479" t="s">
        <v>12</v>
      </c>
      <c r="C479" t="s">
        <v>23</v>
      </c>
      <c r="D479" t="s">
        <v>25</v>
      </c>
      <c r="E479" t="s">
        <v>33</v>
      </c>
      <c r="F479" s="4">
        <v>3</v>
      </c>
      <c r="G479" s="4">
        <v>24661.05</v>
      </c>
      <c r="H479" s="4">
        <v>18213.82</v>
      </c>
      <c r="I479" s="8">
        <v>0.15</v>
      </c>
      <c r="J479" s="4">
        <v>6447.23</v>
      </c>
      <c r="K479" s="4" t="str">
        <f t="shared" si="28"/>
        <v>June</v>
      </c>
      <c r="L479">
        <f t="shared" si="29"/>
        <v>6</v>
      </c>
      <c r="M479" s="9">
        <f t="shared" si="30"/>
        <v>0.26143371835343587</v>
      </c>
      <c r="N479" s="9">
        <f t="shared" si="31"/>
        <v>2.2837386784238734E-4</v>
      </c>
    </row>
    <row r="480" spans="1:14" x14ac:dyDescent="0.35">
      <c r="A480" s="6">
        <v>45042</v>
      </c>
      <c r="B480" t="s">
        <v>9</v>
      </c>
      <c r="C480" t="s">
        <v>13</v>
      </c>
      <c r="D480" t="s">
        <v>25</v>
      </c>
      <c r="E480" t="s">
        <v>29</v>
      </c>
      <c r="F480" s="4">
        <v>2</v>
      </c>
      <c r="G480" s="4">
        <v>39298</v>
      </c>
      <c r="H480" s="4">
        <v>29351.18</v>
      </c>
      <c r="I480" s="8">
        <v>0</v>
      </c>
      <c r="J480" s="4">
        <v>9946.82</v>
      </c>
      <c r="K480" s="4" t="str">
        <f t="shared" si="28"/>
        <v>April</v>
      </c>
      <c r="L480">
        <f t="shared" si="29"/>
        <v>4</v>
      </c>
      <c r="M480" s="9">
        <f t="shared" si="30"/>
        <v>0.25311262659677336</v>
      </c>
      <c r="N480" s="9">
        <f t="shared" si="31"/>
        <v>3.6391947052011726E-4</v>
      </c>
    </row>
    <row r="481" spans="1:14" x14ac:dyDescent="0.35">
      <c r="A481" s="6">
        <v>45042</v>
      </c>
      <c r="B481" t="s">
        <v>12</v>
      </c>
      <c r="C481" t="s">
        <v>23</v>
      </c>
      <c r="D481" t="s">
        <v>25</v>
      </c>
      <c r="E481" t="s">
        <v>32</v>
      </c>
      <c r="F481" s="4">
        <v>4</v>
      </c>
      <c r="G481" s="4">
        <v>60484.6</v>
      </c>
      <c r="H481" s="4">
        <v>47151.360000000001</v>
      </c>
      <c r="I481" s="8">
        <v>0.05</v>
      </c>
      <c r="J481" s="4">
        <v>13333.24</v>
      </c>
      <c r="K481" s="4" t="str">
        <f t="shared" si="28"/>
        <v>April</v>
      </c>
      <c r="L481">
        <f t="shared" si="29"/>
        <v>4</v>
      </c>
      <c r="M481" s="9">
        <f t="shared" si="30"/>
        <v>0.22044024429358877</v>
      </c>
      <c r="N481" s="9">
        <f t="shared" si="31"/>
        <v>5.6011816394272189E-4</v>
      </c>
    </row>
    <row r="482" spans="1:14" x14ac:dyDescent="0.35">
      <c r="A482" s="6">
        <v>45204</v>
      </c>
      <c r="B482" t="s">
        <v>9</v>
      </c>
      <c r="C482" t="s">
        <v>20</v>
      </c>
      <c r="D482" t="s">
        <v>25</v>
      </c>
      <c r="E482" t="s">
        <v>29</v>
      </c>
      <c r="F482" s="4">
        <v>1</v>
      </c>
      <c r="G482" s="4">
        <v>16867.2</v>
      </c>
      <c r="H482" s="4">
        <v>9428.84</v>
      </c>
      <c r="I482" s="8">
        <v>0.2</v>
      </c>
      <c r="J482" s="4">
        <v>7438.36</v>
      </c>
      <c r="K482" s="4" t="str">
        <f t="shared" si="28"/>
        <v>October</v>
      </c>
      <c r="L482">
        <f t="shared" si="29"/>
        <v>10</v>
      </c>
      <c r="M482" s="9">
        <f t="shared" si="30"/>
        <v>0.44099554164295196</v>
      </c>
      <c r="N482" s="9">
        <f t="shared" si="31"/>
        <v>1.5619885218476568E-4</v>
      </c>
    </row>
    <row r="483" spans="1:14" x14ac:dyDescent="0.35">
      <c r="A483" s="6">
        <v>45075</v>
      </c>
      <c r="B483" t="s">
        <v>10</v>
      </c>
      <c r="C483" t="s">
        <v>14</v>
      </c>
      <c r="D483" t="s">
        <v>27</v>
      </c>
      <c r="E483" t="s">
        <v>38</v>
      </c>
      <c r="F483" s="4">
        <v>4</v>
      </c>
      <c r="G483" s="4">
        <v>48585.599999999999</v>
      </c>
      <c r="H483" s="4">
        <v>33564.449999999997</v>
      </c>
      <c r="I483" s="8">
        <v>0.1</v>
      </c>
      <c r="J483" s="4">
        <v>15021.15</v>
      </c>
      <c r="K483" s="4" t="str">
        <f t="shared" si="28"/>
        <v>May</v>
      </c>
      <c r="L483">
        <f t="shared" si="29"/>
        <v>5</v>
      </c>
      <c r="M483" s="9">
        <f t="shared" si="30"/>
        <v>0.30916876605413951</v>
      </c>
      <c r="N483" s="9">
        <f t="shared" si="31"/>
        <v>4.4992737103420551E-4</v>
      </c>
    </row>
    <row r="484" spans="1:14" x14ac:dyDescent="0.35">
      <c r="A484" s="6">
        <v>45058</v>
      </c>
      <c r="B484" t="s">
        <v>9</v>
      </c>
      <c r="C484" t="s">
        <v>20</v>
      </c>
      <c r="D484" t="s">
        <v>25</v>
      </c>
      <c r="E484" t="s">
        <v>29</v>
      </c>
      <c r="F484" s="4">
        <v>5</v>
      </c>
      <c r="G484" s="4">
        <v>161343.25</v>
      </c>
      <c r="H484" s="4">
        <v>124740.85</v>
      </c>
      <c r="I484" s="8">
        <v>0.05</v>
      </c>
      <c r="J484" s="4">
        <v>36602.400000000001</v>
      </c>
      <c r="K484" s="4" t="str">
        <f t="shared" si="28"/>
        <v>May</v>
      </c>
      <c r="L484">
        <f t="shared" si="29"/>
        <v>5</v>
      </c>
      <c r="M484" s="9">
        <f t="shared" si="30"/>
        <v>0.22686043574800929</v>
      </c>
      <c r="N484" s="9">
        <f t="shared" si="31"/>
        <v>1.4941205687819968E-3</v>
      </c>
    </row>
    <row r="485" spans="1:14" x14ac:dyDescent="0.35">
      <c r="A485" s="6">
        <v>45073</v>
      </c>
      <c r="B485" t="s">
        <v>9</v>
      </c>
      <c r="C485" t="s">
        <v>20</v>
      </c>
      <c r="D485" t="s">
        <v>26</v>
      </c>
      <c r="E485" t="s">
        <v>35</v>
      </c>
      <c r="F485" s="4">
        <v>2</v>
      </c>
      <c r="G485" s="4">
        <v>58316.800000000003</v>
      </c>
      <c r="H485" s="4">
        <v>35796.44</v>
      </c>
      <c r="I485" s="8">
        <v>0.2</v>
      </c>
      <c r="J485" s="4">
        <v>22520.36</v>
      </c>
      <c r="K485" s="4" t="str">
        <f t="shared" si="28"/>
        <v>May</v>
      </c>
      <c r="L485">
        <f t="shared" si="29"/>
        <v>5</v>
      </c>
      <c r="M485" s="9">
        <f t="shared" si="30"/>
        <v>0.38617276668129935</v>
      </c>
      <c r="N485" s="9">
        <f t="shared" si="31"/>
        <v>5.400432332034092E-4</v>
      </c>
    </row>
    <row r="486" spans="1:14" x14ac:dyDescent="0.35">
      <c r="A486" s="6">
        <v>45197</v>
      </c>
      <c r="B486" t="s">
        <v>11</v>
      </c>
      <c r="C486" t="s">
        <v>17</v>
      </c>
      <c r="D486" t="s">
        <v>28</v>
      </c>
      <c r="E486" t="s">
        <v>44</v>
      </c>
      <c r="F486" s="4">
        <v>6</v>
      </c>
      <c r="G486" s="4">
        <v>154720.79999999999</v>
      </c>
      <c r="H486" s="4">
        <v>87765.67</v>
      </c>
      <c r="I486" s="8">
        <v>0.1</v>
      </c>
      <c r="J486" s="4">
        <v>66955.13</v>
      </c>
      <c r="K486" s="4" t="str">
        <f t="shared" si="28"/>
        <v>September</v>
      </c>
      <c r="L486">
        <f t="shared" si="29"/>
        <v>9</v>
      </c>
      <c r="M486" s="9">
        <f t="shared" si="30"/>
        <v>0.43274808558383882</v>
      </c>
      <c r="N486" s="9">
        <f t="shared" si="31"/>
        <v>1.4327933130044519E-3</v>
      </c>
    </row>
    <row r="487" spans="1:14" x14ac:dyDescent="0.35">
      <c r="A487" s="6">
        <v>45115</v>
      </c>
      <c r="B487" t="s">
        <v>9</v>
      </c>
      <c r="C487" t="s">
        <v>13</v>
      </c>
      <c r="D487" t="s">
        <v>27</v>
      </c>
      <c r="E487" t="s">
        <v>40</v>
      </c>
      <c r="F487" s="4">
        <v>7</v>
      </c>
      <c r="G487" s="4">
        <v>308114.09999999998</v>
      </c>
      <c r="H487" s="4">
        <v>233845.19</v>
      </c>
      <c r="I487" s="8">
        <v>0.1</v>
      </c>
      <c r="J487" s="4">
        <v>74268.91</v>
      </c>
      <c r="K487" s="4" t="str">
        <f t="shared" si="28"/>
        <v>July</v>
      </c>
      <c r="L487">
        <f t="shared" si="29"/>
        <v>7</v>
      </c>
      <c r="M487" s="9">
        <f t="shared" si="30"/>
        <v>0.24104352900435264</v>
      </c>
      <c r="N487" s="9">
        <f t="shared" si="31"/>
        <v>2.8532933007222364E-3</v>
      </c>
    </row>
    <row r="488" spans="1:14" x14ac:dyDescent="0.35">
      <c r="A488" s="6">
        <v>45107</v>
      </c>
      <c r="B488" t="s">
        <v>11</v>
      </c>
      <c r="C488" t="s">
        <v>18</v>
      </c>
      <c r="D488" t="s">
        <v>27</v>
      </c>
      <c r="E488" t="s">
        <v>31</v>
      </c>
      <c r="F488" s="4">
        <v>2</v>
      </c>
      <c r="G488" s="4">
        <v>35926.199999999997</v>
      </c>
      <c r="H488" s="4">
        <v>24390.83</v>
      </c>
      <c r="I488" s="8">
        <v>0.1</v>
      </c>
      <c r="J488" s="4">
        <v>11535.37</v>
      </c>
      <c r="K488" s="4" t="str">
        <f t="shared" si="28"/>
        <v>June</v>
      </c>
      <c r="L488">
        <f t="shared" si="29"/>
        <v>6</v>
      </c>
      <c r="M488" s="9">
        <f t="shared" si="30"/>
        <v>0.3210851690409785</v>
      </c>
      <c r="N488" s="9">
        <f t="shared" si="31"/>
        <v>3.3269488731741656E-4</v>
      </c>
    </row>
    <row r="489" spans="1:14" x14ac:dyDescent="0.35">
      <c r="A489" s="6">
        <v>45175</v>
      </c>
      <c r="B489" t="s">
        <v>11</v>
      </c>
      <c r="C489" t="s">
        <v>17</v>
      </c>
      <c r="D489" t="s">
        <v>27</v>
      </c>
      <c r="E489" t="s">
        <v>38</v>
      </c>
      <c r="F489" s="4">
        <v>7</v>
      </c>
      <c r="G489" s="4">
        <v>262808</v>
      </c>
      <c r="H489" s="4">
        <v>144545.16</v>
      </c>
      <c r="I489" s="8">
        <v>0</v>
      </c>
      <c r="J489" s="4">
        <v>118262.84</v>
      </c>
      <c r="K489" s="4" t="str">
        <f t="shared" si="28"/>
        <v>September</v>
      </c>
      <c r="L489">
        <f t="shared" si="29"/>
        <v>9</v>
      </c>
      <c r="M489" s="9">
        <f t="shared" si="30"/>
        <v>0.44999710815500288</v>
      </c>
      <c r="N489" s="9">
        <f t="shared" si="31"/>
        <v>2.4337357679385966E-3</v>
      </c>
    </row>
    <row r="490" spans="1:14" x14ac:dyDescent="0.35">
      <c r="A490" s="6">
        <v>44929</v>
      </c>
      <c r="B490" t="s">
        <v>11</v>
      </c>
      <c r="C490" t="s">
        <v>18</v>
      </c>
      <c r="D490" t="s">
        <v>28</v>
      </c>
      <c r="E490" t="s">
        <v>39</v>
      </c>
      <c r="F490" s="4">
        <v>1</v>
      </c>
      <c r="G490" s="4">
        <v>34506.400000000001</v>
      </c>
      <c r="H490" s="4">
        <v>21600.51</v>
      </c>
      <c r="I490" s="8">
        <v>0.2</v>
      </c>
      <c r="J490" s="4">
        <v>12905.89</v>
      </c>
      <c r="K490" s="4" t="str">
        <f t="shared" si="28"/>
        <v>January</v>
      </c>
      <c r="L490">
        <f t="shared" si="29"/>
        <v>1</v>
      </c>
      <c r="M490" s="9">
        <f t="shared" si="30"/>
        <v>0.37401438573713858</v>
      </c>
      <c r="N490" s="9">
        <f t="shared" si="31"/>
        <v>3.1954681707861406E-4</v>
      </c>
    </row>
    <row r="491" spans="1:14" x14ac:dyDescent="0.35">
      <c r="A491" s="6">
        <v>45165</v>
      </c>
      <c r="B491" t="s">
        <v>11</v>
      </c>
      <c r="C491" t="s">
        <v>17</v>
      </c>
      <c r="D491" t="s">
        <v>28</v>
      </c>
      <c r="E491" t="s">
        <v>42</v>
      </c>
      <c r="F491" s="4">
        <v>4</v>
      </c>
      <c r="G491" s="4">
        <v>43353.4</v>
      </c>
      <c r="H491" s="4">
        <v>26275.34</v>
      </c>
      <c r="I491" s="8">
        <v>0.15</v>
      </c>
      <c r="J491" s="4">
        <v>17078.060000000001</v>
      </c>
      <c r="K491" s="4" t="str">
        <f t="shared" si="28"/>
        <v>August</v>
      </c>
      <c r="L491">
        <f t="shared" si="29"/>
        <v>8</v>
      </c>
      <c r="M491" s="9">
        <f t="shared" si="30"/>
        <v>0.3939266585781046</v>
      </c>
      <c r="N491" s="9">
        <f t="shared" si="31"/>
        <v>4.0147453746365851E-4</v>
      </c>
    </row>
    <row r="492" spans="1:14" x14ac:dyDescent="0.35">
      <c r="A492" s="6">
        <v>45132</v>
      </c>
      <c r="B492" t="s">
        <v>12</v>
      </c>
      <c r="C492" t="s">
        <v>23</v>
      </c>
      <c r="D492" t="s">
        <v>27</v>
      </c>
      <c r="E492" t="s">
        <v>40</v>
      </c>
      <c r="F492" s="4">
        <v>2</v>
      </c>
      <c r="G492" s="4">
        <v>57627.199999999997</v>
      </c>
      <c r="H492" s="4">
        <v>41961.55</v>
      </c>
      <c r="I492" s="8">
        <v>0.2</v>
      </c>
      <c r="J492" s="4">
        <v>15665.65</v>
      </c>
      <c r="K492" s="4" t="str">
        <f t="shared" si="28"/>
        <v>July</v>
      </c>
      <c r="L492">
        <f t="shared" si="29"/>
        <v>7</v>
      </c>
      <c r="M492" s="9">
        <f t="shared" si="30"/>
        <v>0.27184471916039649</v>
      </c>
      <c r="N492" s="9">
        <f t="shared" si="31"/>
        <v>5.336571864104255E-4</v>
      </c>
    </row>
    <row r="493" spans="1:14" x14ac:dyDescent="0.35">
      <c r="A493" s="6">
        <v>44948</v>
      </c>
      <c r="B493" t="s">
        <v>12</v>
      </c>
      <c r="C493" t="s">
        <v>24</v>
      </c>
      <c r="D493" t="s">
        <v>26</v>
      </c>
      <c r="E493" t="s">
        <v>35</v>
      </c>
      <c r="F493" s="4">
        <v>7</v>
      </c>
      <c r="G493" s="4">
        <v>184931.95</v>
      </c>
      <c r="H493" s="4">
        <v>147245.51999999999</v>
      </c>
      <c r="I493" s="8">
        <v>0.15</v>
      </c>
      <c r="J493" s="4">
        <v>37686.43</v>
      </c>
      <c r="K493" s="4" t="str">
        <f t="shared" si="28"/>
        <v>January</v>
      </c>
      <c r="L493">
        <f t="shared" si="29"/>
        <v>1</v>
      </c>
      <c r="M493" s="9">
        <f t="shared" si="30"/>
        <v>0.20378539241055965</v>
      </c>
      <c r="N493" s="9">
        <f t="shared" si="31"/>
        <v>1.7125639301301034E-3</v>
      </c>
    </row>
    <row r="494" spans="1:14" x14ac:dyDescent="0.35">
      <c r="A494" s="6">
        <v>45088</v>
      </c>
      <c r="B494" t="s">
        <v>12</v>
      </c>
      <c r="C494" t="s">
        <v>24</v>
      </c>
      <c r="D494" t="s">
        <v>27</v>
      </c>
      <c r="E494" t="s">
        <v>31</v>
      </c>
      <c r="F494" s="4">
        <v>1</v>
      </c>
      <c r="G494" s="4">
        <v>42846.9</v>
      </c>
      <c r="H494" s="4">
        <v>31163.84</v>
      </c>
      <c r="I494" s="8">
        <v>0.05</v>
      </c>
      <c r="J494" s="4">
        <v>11683.06</v>
      </c>
      <c r="K494" s="4" t="str">
        <f t="shared" si="28"/>
        <v>June</v>
      </c>
      <c r="L494">
        <f t="shared" si="29"/>
        <v>6</v>
      </c>
      <c r="M494" s="9">
        <f t="shared" si="30"/>
        <v>0.27266990143977743</v>
      </c>
      <c r="N494" s="9">
        <f t="shared" si="31"/>
        <v>3.9678408981190933E-4</v>
      </c>
    </row>
    <row r="495" spans="1:14" x14ac:dyDescent="0.35">
      <c r="A495" s="6">
        <v>45199</v>
      </c>
      <c r="B495" t="s">
        <v>9</v>
      </c>
      <c r="C495" t="s">
        <v>20</v>
      </c>
      <c r="D495" t="s">
        <v>27</v>
      </c>
      <c r="E495" t="s">
        <v>38</v>
      </c>
      <c r="F495" s="4">
        <v>3</v>
      </c>
      <c r="G495" s="4">
        <v>11545.35</v>
      </c>
      <c r="H495" s="4">
        <v>7740.77</v>
      </c>
      <c r="I495" s="8">
        <v>0.05</v>
      </c>
      <c r="J495" s="4">
        <v>3804.58</v>
      </c>
      <c r="K495" s="4" t="str">
        <f t="shared" si="28"/>
        <v>September</v>
      </c>
      <c r="L495">
        <f t="shared" si="29"/>
        <v>9</v>
      </c>
      <c r="M495" s="9">
        <f t="shared" si="30"/>
        <v>0.32953353514618439</v>
      </c>
      <c r="N495" s="9">
        <f t="shared" si="31"/>
        <v>1.0691581401011339E-4</v>
      </c>
    </row>
    <row r="496" spans="1:14" x14ac:dyDescent="0.35">
      <c r="A496" s="6">
        <v>45143</v>
      </c>
      <c r="B496" t="s">
        <v>11</v>
      </c>
      <c r="C496" t="s">
        <v>17</v>
      </c>
      <c r="D496" t="s">
        <v>27</v>
      </c>
      <c r="E496" t="s">
        <v>40</v>
      </c>
      <c r="F496" s="4">
        <v>5</v>
      </c>
      <c r="G496" s="4">
        <v>58040</v>
      </c>
      <c r="H496" s="4">
        <v>39378.03</v>
      </c>
      <c r="I496" s="8">
        <v>0</v>
      </c>
      <c r="J496" s="4">
        <v>18661.97</v>
      </c>
      <c r="K496" s="4" t="str">
        <f t="shared" si="28"/>
        <v>August</v>
      </c>
      <c r="L496">
        <f t="shared" si="29"/>
        <v>8</v>
      </c>
      <c r="M496" s="9">
        <f t="shared" si="30"/>
        <v>0.32153635423845628</v>
      </c>
      <c r="N496" s="9">
        <f t="shared" si="31"/>
        <v>5.374799243978728E-4</v>
      </c>
    </row>
    <row r="497" spans="1:14" x14ac:dyDescent="0.35">
      <c r="A497" s="6">
        <v>45093</v>
      </c>
      <c r="B497" t="s">
        <v>9</v>
      </c>
      <c r="C497" t="s">
        <v>13</v>
      </c>
      <c r="D497" t="s">
        <v>27</v>
      </c>
      <c r="E497" t="s">
        <v>40</v>
      </c>
      <c r="F497" s="4">
        <v>2</v>
      </c>
      <c r="G497" s="4">
        <v>37949.4</v>
      </c>
      <c r="H497" s="4">
        <v>28495.43</v>
      </c>
      <c r="I497" s="8">
        <v>0.1</v>
      </c>
      <c r="J497" s="4">
        <v>9453.9699999999993</v>
      </c>
      <c r="K497" s="4" t="str">
        <f t="shared" si="28"/>
        <v>June</v>
      </c>
      <c r="L497">
        <f t="shared" si="29"/>
        <v>6</v>
      </c>
      <c r="M497" s="9">
        <f t="shared" si="30"/>
        <v>0.24912040770078048</v>
      </c>
      <c r="N497" s="9">
        <f t="shared" si="31"/>
        <v>3.5143074850007986E-4</v>
      </c>
    </row>
    <row r="498" spans="1:14" x14ac:dyDescent="0.35">
      <c r="A498" s="6">
        <v>45067</v>
      </c>
      <c r="B498" t="s">
        <v>12</v>
      </c>
      <c r="C498" t="s">
        <v>24</v>
      </c>
      <c r="D498" t="s">
        <v>27</v>
      </c>
      <c r="E498" t="s">
        <v>38</v>
      </c>
      <c r="F498" s="4">
        <v>2</v>
      </c>
      <c r="G498" s="4">
        <v>27100</v>
      </c>
      <c r="H498" s="4">
        <v>16227.76</v>
      </c>
      <c r="I498" s="8">
        <v>0</v>
      </c>
      <c r="J498" s="4">
        <v>10872.24</v>
      </c>
      <c r="K498" s="4" t="str">
        <f t="shared" si="28"/>
        <v>May</v>
      </c>
      <c r="L498">
        <f t="shared" si="29"/>
        <v>5</v>
      </c>
      <c r="M498" s="9">
        <f t="shared" si="30"/>
        <v>0.40118966789667898</v>
      </c>
      <c r="N498" s="9">
        <f t="shared" si="31"/>
        <v>2.5095978551313493E-4</v>
      </c>
    </row>
    <row r="499" spans="1:14" x14ac:dyDescent="0.35">
      <c r="A499" s="6">
        <v>45002</v>
      </c>
      <c r="B499" t="s">
        <v>10</v>
      </c>
      <c r="C499" t="s">
        <v>19</v>
      </c>
      <c r="D499" t="s">
        <v>26</v>
      </c>
      <c r="E499" t="s">
        <v>30</v>
      </c>
      <c r="F499" s="4">
        <v>5</v>
      </c>
      <c r="G499" s="4">
        <v>10190</v>
      </c>
      <c r="H499" s="4">
        <v>7390.73</v>
      </c>
      <c r="I499" s="8">
        <v>0</v>
      </c>
      <c r="J499" s="4">
        <v>2799.27</v>
      </c>
      <c r="K499" s="4" t="str">
        <f t="shared" si="28"/>
        <v>March</v>
      </c>
      <c r="L499">
        <f t="shared" si="29"/>
        <v>3</v>
      </c>
      <c r="M499" s="9">
        <f t="shared" si="30"/>
        <v>0.27470755642787048</v>
      </c>
      <c r="N499" s="9">
        <f t="shared" si="31"/>
        <v>9.4364583556414948E-5</v>
      </c>
    </row>
    <row r="500" spans="1:14" x14ac:dyDescent="0.35">
      <c r="A500" s="6">
        <v>45026</v>
      </c>
      <c r="B500" t="s">
        <v>11</v>
      </c>
      <c r="C500" t="s">
        <v>17</v>
      </c>
      <c r="D500" t="s">
        <v>27</v>
      </c>
      <c r="E500" t="s">
        <v>40</v>
      </c>
      <c r="F500" s="4">
        <v>1</v>
      </c>
      <c r="G500" s="4">
        <v>11350.8</v>
      </c>
      <c r="H500" s="4">
        <v>7612.13</v>
      </c>
      <c r="I500" s="8">
        <v>0.1</v>
      </c>
      <c r="J500" s="4">
        <v>3738.67</v>
      </c>
      <c r="K500" s="4" t="str">
        <f t="shared" si="28"/>
        <v>April</v>
      </c>
      <c r="L500">
        <f t="shared" si="29"/>
        <v>4</v>
      </c>
      <c r="M500" s="9">
        <f t="shared" si="30"/>
        <v>0.32937502202487934</v>
      </c>
      <c r="N500" s="9">
        <f t="shared" si="31"/>
        <v>1.051141820443724E-4</v>
      </c>
    </row>
    <row r="501" spans="1:14" x14ac:dyDescent="0.35">
      <c r="A501" s="6">
        <v>45240</v>
      </c>
      <c r="B501" t="s">
        <v>11</v>
      </c>
      <c r="C501" t="s">
        <v>18</v>
      </c>
      <c r="D501" t="s">
        <v>27</v>
      </c>
      <c r="E501" t="s">
        <v>40</v>
      </c>
      <c r="F501" s="4">
        <v>3</v>
      </c>
      <c r="G501" s="4">
        <v>94972.5</v>
      </c>
      <c r="H501" s="4">
        <v>52505.97</v>
      </c>
      <c r="I501" s="8">
        <v>0.1</v>
      </c>
      <c r="J501" s="4">
        <v>42466.53</v>
      </c>
      <c r="K501" s="4" t="str">
        <f t="shared" si="28"/>
        <v>November</v>
      </c>
      <c r="L501">
        <f t="shared" si="29"/>
        <v>11</v>
      </c>
      <c r="M501" s="9">
        <f t="shared" si="30"/>
        <v>0.44714554213061675</v>
      </c>
      <c r="N501" s="9">
        <f t="shared" si="31"/>
        <v>8.7949366161056122E-4</v>
      </c>
    </row>
    <row r="502" spans="1:14" x14ac:dyDescent="0.35">
      <c r="A502" s="6">
        <v>45094</v>
      </c>
      <c r="B502" t="s">
        <v>12</v>
      </c>
      <c r="C502" t="s">
        <v>24</v>
      </c>
      <c r="D502" t="s">
        <v>28</v>
      </c>
      <c r="E502" t="s">
        <v>39</v>
      </c>
      <c r="F502" s="4">
        <v>7</v>
      </c>
      <c r="G502" s="4">
        <v>92679.3</v>
      </c>
      <c r="H502" s="4">
        <v>62583.73</v>
      </c>
      <c r="I502" s="8">
        <v>0.1</v>
      </c>
      <c r="J502" s="4">
        <v>30095.57</v>
      </c>
      <c r="K502" s="4" t="str">
        <f t="shared" si="28"/>
        <v>June</v>
      </c>
      <c r="L502">
        <f t="shared" si="29"/>
        <v>6</v>
      </c>
      <c r="M502" s="9">
        <f t="shared" si="30"/>
        <v>0.3247280676483314</v>
      </c>
      <c r="N502" s="9">
        <f t="shared" si="31"/>
        <v>8.5825746308145715E-4</v>
      </c>
    </row>
    <row r="503" spans="1:14" x14ac:dyDescent="0.35">
      <c r="A503" s="6">
        <v>45073</v>
      </c>
      <c r="B503" t="s">
        <v>9</v>
      </c>
      <c r="C503" t="s">
        <v>13</v>
      </c>
      <c r="D503" t="s">
        <v>27</v>
      </c>
      <c r="E503" t="s">
        <v>38</v>
      </c>
      <c r="F503" s="4">
        <v>3</v>
      </c>
      <c r="G503" s="4">
        <v>107680.8</v>
      </c>
      <c r="H503" s="4">
        <v>85108.57</v>
      </c>
      <c r="I503" s="8">
        <v>0.2</v>
      </c>
      <c r="J503" s="4">
        <v>22572.23</v>
      </c>
      <c r="K503" s="4" t="str">
        <f t="shared" si="28"/>
        <v>May</v>
      </c>
      <c r="L503">
        <f t="shared" si="29"/>
        <v>5</v>
      </c>
      <c r="M503" s="9">
        <f t="shared" si="30"/>
        <v>0.20962167814503607</v>
      </c>
      <c r="N503" s="9">
        <f t="shared" si="31"/>
        <v>9.9717898420231669E-4</v>
      </c>
    </row>
    <row r="504" spans="1:14" x14ac:dyDescent="0.35">
      <c r="A504" s="6">
        <v>44928</v>
      </c>
      <c r="B504" t="s">
        <v>11</v>
      </c>
      <c r="C504" t="s">
        <v>17</v>
      </c>
      <c r="D504" t="s">
        <v>25</v>
      </c>
      <c r="E504" t="s">
        <v>32</v>
      </c>
      <c r="F504" s="4">
        <v>1</v>
      </c>
      <c r="G504" s="4">
        <v>3596.35</v>
      </c>
      <c r="H504" s="4">
        <v>2539.9499999999998</v>
      </c>
      <c r="I504" s="8">
        <v>0.15</v>
      </c>
      <c r="J504" s="4">
        <v>1056.4000000000001</v>
      </c>
      <c r="K504" s="4" t="str">
        <f t="shared" si="28"/>
        <v>January</v>
      </c>
      <c r="L504">
        <f t="shared" si="29"/>
        <v>1</v>
      </c>
      <c r="M504" s="9">
        <f t="shared" si="30"/>
        <v>0.29374226646460999</v>
      </c>
      <c r="N504" s="9">
        <f t="shared" si="31"/>
        <v>3.33040304291573E-5</v>
      </c>
    </row>
    <row r="505" spans="1:14" x14ac:dyDescent="0.35">
      <c r="A505" s="6">
        <v>45009</v>
      </c>
      <c r="B505" t="s">
        <v>11</v>
      </c>
      <c r="C505" t="s">
        <v>18</v>
      </c>
      <c r="D505" t="s">
        <v>25</v>
      </c>
      <c r="E505" t="s">
        <v>33</v>
      </c>
      <c r="F505" s="4">
        <v>5</v>
      </c>
      <c r="G505" s="4">
        <v>198117</v>
      </c>
      <c r="H505" s="4">
        <v>151097.91</v>
      </c>
      <c r="I505" s="8">
        <v>0.1</v>
      </c>
      <c r="J505" s="4">
        <v>47019.09</v>
      </c>
      <c r="K505" s="4" t="str">
        <f t="shared" si="28"/>
        <v>March</v>
      </c>
      <c r="L505">
        <f t="shared" si="29"/>
        <v>3</v>
      </c>
      <c r="M505" s="9">
        <f t="shared" si="30"/>
        <v>0.23732991111313009</v>
      </c>
      <c r="N505" s="9">
        <f t="shared" si="31"/>
        <v>1.8346642002400649E-3</v>
      </c>
    </row>
    <row r="506" spans="1:14" x14ac:dyDescent="0.35">
      <c r="A506" s="6">
        <v>44979</v>
      </c>
      <c r="B506" t="s">
        <v>9</v>
      </c>
      <c r="C506" t="s">
        <v>20</v>
      </c>
      <c r="D506" t="s">
        <v>26</v>
      </c>
      <c r="E506" t="s">
        <v>30</v>
      </c>
      <c r="F506" s="4">
        <v>4</v>
      </c>
      <c r="G506" s="4">
        <v>165712</v>
      </c>
      <c r="H506" s="4">
        <v>91961.69</v>
      </c>
      <c r="I506" s="8">
        <v>0</v>
      </c>
      <c r="J506" s="4">
        <v>73750.31</v>
      </c>
      <c r="K506" s="4" t="str">
        <f t="shared" si="28"/>
        <v>February</v>
      </c>
      <c r="L506">
        <f t="shared" si="29"/>
        <v>2</v>
      </c>
      <c r="M506" s="9">
        <f t="shared" si="30"/>
        <v>0.4450511127739693</v>
      </c>
      <c r="N506" s="9">
        <f t="shared" si="31"/>
        <v>1.5345774161237128E-3</v>
      </c>
    </row>
    <row r="507" spans="1:14" x14ac:dyDescent="0.35">
      <c r="A507" s="6">
        <v>45260</v>
      </c>
      <c r="B507" t="s">
        <v>9</v>
      </c>
      <c r="C507" t="s">
        <v>13</v>
      </c>
      <c r="D507" t="s">
        <v>25</v>
      </c>
      <c r="E507" t="s">
        <v>37</v>
      </c>
      <c r="F507" s="4">
        <v>1</v>
      </c>
      <c r="G507" s="4">
        <v>16041.6</v>
      </c>
      <c r="H507" s="4">
        <v>11761.3</v>
      </c>
      <c r="I507" s="8">
        <v>0.2</v>
      </c>
      <c r="J507" s="4">
        <v>4280.3</v>
      </c>
      <c r="K507" s="4" t="str">
        <f t="shared" si="28"/>
        <v>November</v>
      </c>
      <c r="L507">
        <f t="shared" si="29"/>
        <v>11</v>
      </c>
      <c r="M507" s="9">
        <f t="shared" si="30"/>
        <v>0.26682500498703371</v>
      </c>
      <c r="N507" s="9">
        <f t="shared" si="31"/>
        <v>1.4855337620987106E-4</v>
      </c>
    </row>
    <row r="508" spans="1:14" x14ac:dyDescent="0.35">
      <c r="A508" s="6">
        <v>44945</v>
      </c>
      <c r="B508" t="s">
        <v>12</v>
      </c>
      <c r="C508" t="s">
        <v>24</v>
      </c>
      <c r="D508" t="s">
        <v>26</v>
      </c>
      <c r="E508" t="s">
        <v>35</v>
      </c>
      <c r="F508" s="4">
        <v>1</v>
      </c>
      <c r="G508" s="4">
        <v>28987.35</v>
      </c>
      <c r="H508" s="4">
        <v>19079.23</v>
      </c>
      <c r="I508" s="8">
        <v>0.05</v>
      </c>
      <c r="J508" s="4">
        <v>9908.1200000000008</v>
      </c>
      <c r="K508" s="4" t="str">
        <f t="shared" si="28"/>
        <v>January</v>
      </c>
      <c r="L508">
        <f t="shared" si="29"/>
        <v>1</v>
      </c>
      <c r="M508" s="9">
        <f t="shared" si="30"/>
        <v>0.34180840953036418</v>
      </c>
      <c r="N508" s="9">
        <f t="shared" si="31"/>
        <v>2.6843760659019084E-4</v>
      </c>
    </row>
    <row r="509" spans="1:14" x14ac:dyDescent="0.35">
      <c r="A509" s="6">
        <v>45010</v>
      </c>
      <c r="B509" t="s">
        <v>10</v>
      </c>
      <c r="C509" t="s">
        <v>14</v>
      </c>
      <c r="D509" t="s">
        <v>25</v>
      </c>
      <c r="E509" t="s">
        <v>32</v>
      </c>
      <c r="F509" s="4">
        <v>6</v>
      </c>
      <c r="G509" s="4">
        <v>99399</v>
      </c>
      <c r="H509" s="4">
        <v>79073.14</v>
      </c>
      <c r="I509" s="8">
        <v>0.15</v>
      </c>
      <c r="J509" s="4">
        <v>20325.86</v>
      </c>
      <c r="K509" s="4" t="str">
        <f t="shared" si="28"/>
        <v>March</v>
      </c>
      <c r="L509">
        <f t="shared" si="29"/>
        <v>3</v>
      </c>
      <c r="M509" s="9">
        <f t="shared" si="30"/>
        <v>0.2044875702974879</v>
      </c>
      <c r="N509" s="9">
        <f t="shared" si="31"/>
        <v>9.2048530332915505E-4</v>
      </c>
    </row>
    <row r="510" spans="1:14" x14ac:dyDescent="0.35">
      <c r="A510" s="6">
        <v>45174</v>
      </c>
      <c r="B510" t="s">
        <v>10</v>
      </c>
      <c r="C510" t="s">
        <v>22</v>
      </c>
      <c r="D510" t="s">
        <v>25</v>
      </c>
      <c r="E510" t="s">
        <v>29</v>
      </c>
      <c r="F510" s="4">
        <v>6</v>
      </c>
      <c r="G510" s="4">
        <v>125506.8</v>
      </c>
      <c r="H510" s="4">
        <v>93667.88</v>
      </c>
      <c r="I510" s="8">
        <v>0.1</v>
      </c>
      <c r="J510" s="4">
        <v>31838.92</v>
      </c>
      <c r="K510" s="4" t="str">
        <f t="shared" si="28"/>
        <v>September</v>
      </c>
      <c r="L510">
        <f t="shared" si="29"/>
        <v>9</v>
      </c>
      <c r="M510" s="9">
        <f t="shared" si="30"/>
        <v>0.25368282834077516</v>
      </c>
      <c r="N510" s="9">
        <f t="shared" si="31"/>
        <v>1.1622568121195545E-3</v>
      </c>
    </row>
    <row r="511" spans="1:14" x14ac:dyDescent="0.35">
      <c r="A511" s="6">
        <v>45128</v>
      </c>
      <c r="B511" t="s">
        <v>11</v>
      </c>
      <c r="C511" t="s">
        <v>16</v>
      </c>
      <c r="D511" t="s">
        <v>26</v>
      </c>
      <c r="E511" t="s">
        <v>34</v>
      </c>
      <c r="F511" s="4">
        <v>7</v>
      </c>
      <c r="G511" s="4">
        <v>197771</v>
      </c>
      <c r="H511" s="4">
        <v>131029.05</v>
      </c>
      <c r="I511" s="8">
        <v>0.05</v>
      </c>
      <c r="J511" s="4">
        <v>66741.95</v>
      </c>
      <c r="K511" s="4" t="str">
        <f t="shared" si="28"/>
        <v>July</v>
      </c>
      <c r="L511">
        <f t="shared" si="29"/>
        <v>7</v>
      </c>
      <c r="M511" s="9">
        <f t="shared" si="30"/>
        <v>0.33747086276552174</v>
      </c>
      <c r="N511" s="9">
        <f t="shared" si="31"/>
        <v>1.8314600642331444E-3</v>
      </c>
    </row>
    <row r="512" spans="1:14" x14ac:dyDescent="0.35">
      <c r="A512" s="6">
        <v>45145</v>
      </c>
      <c r="B512" t="s">
        <v>12</v>
      </c>
      <c r="C512" t="s">
        <v>24</v>
      </c>
      <c r="D512" t="s">
        <v>28</v>
      </c>
      <c r="E512" t="s">
        <v>36</v>
      </c>
      <c r="F512" s="4">
        <v>5</v>
      </c>
      <c r="G512" s="4">
        <v>132085</v>
      </c>
      <c r="H512" s="4">
        <v>97012.63</v>
      </c>
      <c r="I512" s="8">
        <v>0</v>
      </c>
      <c r="J512" s="4">
        <v>35072.370000000003</v>
      </c>
      <c r="K512" s="4" t="str">
        <f t="shared" si="28"/>
        <v>August</v>
      </c>
      <c r="L512">
        <f t="shared" si="29"/>
        <v>8</v>
      </c>
      <c r="M512" s="9">
        <f t="shared" si="30"/>
        <v>0.2655287882802741</v>
      </c>
      <c r="N512" s="9">
        <f t="shared" si="31"/>
        <v>1.2231742903875435E-3</v>
      </c>
    </row>
    <row r="513" spans="1:14" x14ac:dyDescent="0.35">
      <c r="A513" s="6">
        <v>44928</v>
      </c>
      <c r="B513" t="s">
        <v>12</v>
      </c>
      <c r="C513" t="s">
        <v>21</v>
      </c>
      <c r="D513" t="s">
        <v>25</v>
      </c>
      <c r="E513" t="s">
        <v>29</v>
      </c>
      <c r="F513" s="4">
        <v>2</v>
      </c>
      <c r="G513" s="4">
        <v>46250</v>
      </c>
      <c r="H513" s="4">
        <v>33995.620000000003</v>
      </c>
      <c r="I513" s="8">
        <v>0</v>
      </c>
      <c r="J513" s="4">
        <v>12254.38</v>
      </c>
      <c r="K513" s="4" t="str">
        <f t="shared" si="28"/>
        <v>January</v>
      </c>
      <c r="L513">
        <f t="shared" si="29"/>
        <v>1</v>
      </c>
      <c r="M513" s="9">
        <f t="shared" si="30"/>
        <v>0.26495956756756756</v>
      </c>
      <c r="N513" s="9">
        <f t="shared" si="31"/>
        <v>4.2829852693662332E-4</v>
      </c>
    </row>
    <row r="514" spans="1:14" x14ac:dyDescent="0.35">
      <c r="A514" s="6">
        <v>45156</v>
      </c>
      <c r="B514" t="s">
        <v>11</v>
      </c>
      <c r="C514" t="s">
        <v>18</v>
      </c>
      <c r="D514" t="s">
        <v>28</v>
      </c>
      <c r="E514" t="s">
        <v>36</v>
      </c>
      <c r="F514" s="4">
        <v>2</v>
      </c>
      <c r="G514" s="4">
        <v>58827.6</v>
      </c>
      <c r="H514" s="4">
        <v>33466.78</v>
      </c>
      <c r="I514" s="8">
        <v>0.1</v>
      </c>
      <c r="J514" s="4">
        <v>25360.82</v>
      </c>
      <c r="K514" s="4" t="str">
        <f t="shared" si="28"/>
        <v>August</v>
      </c>
      <c r="L514">
        <f t="shared" si="29"/>
        <v>8</v>
      </c>
      <c r="M514" s="9">
        <f t="shared" si="30"/>
        <v>0.4311041075957544</v>
      </c>
      <c r="N514" s="9">
        <f t="shared" si="31"/>
        <v>5.4477350104252759E-4</v>
      </c>
    </row>
    <row r="515" spans="1:14" x14ac:dyDescent="0.35">
      <c r="A515" s="6">
        <v>45235</v>
      </c>
      <c r="B515" t="s">
        <v>11</v>
      </c>
      <c r="C515" t="s">
        <v>17</v>
      </c>
      <c r="D515" t="s">
        <v>27</v>
      </c>
      <c r="E515" t="s">
        <v>41</v>
      </c>
      <c r="F515" s="4">
        <v>4</v>
      </c>
      <c r="G515" s="4">
        <v>107161.2</v>
      </c>
      <c r="H515" s="4">
        <v>76312.3</v>
      </c>
      <c r="I515" s="8">
        <v>0.1</v>
      </c>
      <c r="J515" s="4">
        <v>30848.9</v>
      </c>
      <c r="K515" s="4" t="str">
        <f t="shared" ref="K515:K578" si="32">TEXT(A515,"mmmm")</f>
        <v>November</v>
      </c>
      <c r="L515">
        <f t="shared" ref="L515:L578" si="33">MONTH(A515)</f>
        <v>11</v>
      </c>
      <c r="M515" s="9">
        <f t="shared" ref="M515:M578" si="34">J515/G515</f>
        <v>0.28787378267507274</v>
      </c>
      <c r="N515" s="9">
        <f t="shared" ref="N515:N578" si="35">G515/SUM(G:G)</f>
        <v>9.9236722388672174E-4</v>
      </c>
    </row>
    <row r="516" spans="1:14" x14ac:dyDescent="0.35">
      <c r="A516" s="6">
        <v>45278</v>
      </c>
      <c r="B516" t="s">
        <v>10</v>
      </c>
      <c r="C516" t="s">
        <v>19</v>
      </c>
      <c r="D516" t="s">
        <v>25</v>
      </c>
      <c r="E516" t="s">
        <v>32</v>
      </c>
      <c r="F516" s="4">
        <v>7</v>
      </c>
      <c r="G516" s="4">
        <v>12009.9</v>
      </c>
      <c r="H516" s="4">
        <v>7958.62</v>
      </c>
      <c r="I516" s="8">
        <v>0.05</v>
      </c>
      <c r="J516" s="4">
        <v>4051.28</v>
      </c>
      <c r="K516" s="4" t="str">
        <f t="shared" si="32"/>
        <v>December</v>
      </c>
      <c r="L516">
        <f t="shared" si="33"/>
        <v>12</v>
      </c>
      <c r="M516" s="9">
        <f t="shared" si="34"/>
        <v>0.33732837076078903</v>
      </c>
      <c r="N516" s="9">
        <f t="shared" si="35"/>
        <v>1.1121778332229519E-4</v>
      </c>
    </row>
    <row r="517" spans="1:14" x14ac:dyDescent="0.35">
      <c r="A517" s="6">
        <v>45009</v>
      </c>
      <c r="B517" t="s">
        <v>11</v>
      </c>
      <c r="C517" t="s">
        <v>18</v>
      </c>
      <c r="D517" t="s">
        <v>27</v>
      </c>
      <c r="E517" t="s">
        <v>40</v>
      </c>
      <c r="F517" s="4">
        <v>4</v>
      </c>
      <c r="G517" s="4">
        <v>61404.800000000003</v>
      </c>
      <c r="H517" s="4">
        <v>36445</v>
      </c>
      <c r="I517" s="8">
        <v>0.2</v>
      </c>
      <c r="J517" s="4">
        <v>24959.8</v>
      </c>
      <c r="K517" s="4" t="str">
        <f t="shared" si="32"/>
        <v>March</v>
      </c>
      <c r="L517">
        <f t="shared" si="33"/>
        <v>3</v>
      </c>
      <c r="M517" s="9">
        <f t="shared" si="34"/>
        <v>0.40647962374276925</v>
      </c>
      <c r="N517" s="9">
        <f t="shared" si="35"/>
        <v>5.6863968403973991E-4</v>
      </c>
    </row>
    <row r="518" spans="1:14" x14ac:dyDescent="0.35">
      <c r="A518" s="6">
        <v>45174</v>
      </c>
      <c r="B518" t="s">
        <v>10</v>
      </c>
      <c r="C518" t="s">
        <v>14</v>
      </c>
      <c r="D518" t="s">
        <v>28</v>
      </c>
      <c r="E518" t="s">
        <v>39</v>
      </c>
      <c r="F518" s="4">
        <v>7</v>
      </c>
      <c r="G518" s="4">
        <v>308334.59999999998</v>
      </c>
      <c r="H518" s="4">
        <v>237648.42</v>
      </c>
      <c r="I518" s="8">
        <v>0.1</v>
      </c>
      <c r="J518" s="4">
        <v>70686.179999999993</v>
      </c>
      <c r="K518" s="4" t="str">
        <f t="shared" si="32"/>
        <v>September</v>
      </c>
      <c r="L518">
        <f t="shared" si="33"/>
        <v>9</v>
      </c>
      <c r="M518" s="9">
        <f t="shared" si="34"/>
        <v>0.22925153388559052</v>
      </c>
      <c r="N518" s="9">
        <f t="shared" si="35"/>
        <v>2.8553352428884967E-3</v>
      </c>
    </row>
    <row r="519" spans="1:14" x14ac:dyDescent="0.35">
      <c r="A519" s="6">
        <v>44994</v>
      </c>
      <c r="B519" t="s">
        <v>10</v>
      </c>
      <c r="C519" t="s">
        <v>19</v>
      </c>
      <c r="D519" t="s">
        <v>28</v>
      </c>
      <c r="E519" t="s">
        <v>39</v>
      </c>
      <c r="F519" s="4">
        <v>5</v>
      </c>
      <c r="G519" s="4">
        <v>208715</v>
      </c>
      <c r="H519" s="4">
        <v>115596.54</v>
      </c>
      <c r="I519" s="8">
        <v>0</v>
      </c>
      <c r="J519" s="4">
        <v>93118.46</v>
      </c>
      <c r="K519" s="4" t="str">
        <f t="shared" si="32"/>
        <v>March</v>
      </c>
      <c r="L519">
        <f t="shared" si="33"/>
        <v>3</v>
      </c>
      <c r="M519" s="9">
        <f t="shared" si="34"/>
        <v>0.44615125889370677</v>
      </c>
      <c r="N519" s="9">
        <f t="shared" si="35"/>
        <v>1.9328070713422127E-3</v>
      </c>
    </row>
    <row r="520" spans="1:14" x14ac:dyDescent="0.35">
      <c r="A520" s="6">
        <v>45163</v>
      </c>
      <c r="B520" t="s">
        <v>9</v>
      </c>
      <c r="C520" t="s">
        <v>13</v>
      </c>
      <c r="D520" t="s">
        <v>27</v>
      </c>
      <c r="E520" t="s">
        <v>31</v>
      </c>
      <c r="F520" s="4">
        <v>3</v>
      </c>
      <c r="G520" s="4">
        <v>6897</v>
      </c>
      <c r="H520" s="4">
        <v>4481.3900000000003</v>
      </c>
      <c r="I520" s="8">
        <v>0.05</v>
      </c>
      <c r="J520" s="4">
        <v>2415.61</v>
      </c>
      <c r="K520" s="4" t="str">
        <f t="shared" si="32"/>
        <v>August</v>
      </c>
      <c r="L520">
        <f t="shared" si="33"/>
        <v>8</v>
      </c>
      <c r="M520" s="9">
        <f t="shared" si="34"/>
        <v>0.35024068435551692</v>
      </c>
      <c r="N520" s="9">
        <f t="shared" si="35"/>
        <v>6.3869728438527374E-5</v>
      </c>
    </row>
    <row r="521" spans="1:14" x14ac:dyDescent="0.35">
      <c r="A521" s="6">
        <v>45209</v>
      </c>
      <c r="B521" t="s">
        <v>10</v>
      </c>
      <c r="C521" t="s">
        <v>19</v>
      </c>
      <c r="D521" t="s">
        <v>26</v>
      </c>
      <c r="E521" t="s">
        <v>30</v>
      </c>
      <c r="F521" s="4">
        <v>6</v>
      </c>
      <c r="G521" s="4">
        <v>53202</v>
      </c>
      <c r="H521" s="4">
        <v>35885.29</v>
      </c>
      <c r="I521" s="8">
        <v>0</v>
      </c>
      <c r="J521" s="4">
        <v>17316.71</v>
      </c>
      <c r="K521" s="4" t="str">
        <f t="shared" si="32"/>
        <v>October</v>
      </c>
      <c r="L521">
        <f t="shared" si="33"/>
        <v>10</v>
      </c>
      <c r="M521" s="9">
        <f t="shared" si="34"/>
        <v>0.32548983120935304</v>
      </c>
      <c r="N521" s="9">
        <f t="shared" si="35"/>
        <v>4.9267758335312932E-4</v>
      </c>
    </row>
    <row r="522" spans="1:14" x14ac:dyDescent="0.35">
      <c r="A522" s="6">
        <v>44999</v>
      </c>
      <c r="B522" t="s">
        <v>10</v>
      </c>
      <c r="C522" t="s">
        <v>19</v>
      </c>
      <c r="D522" t="s">
        <v>25</v>
      </c>
      <c r="E522" t="s">
        <v>37</v>
      </c>
      <c r="F522" s="4">
        <v>3</v>
      </c>
      <c r="G522" s="4">
        <v>75321.899999999994</v>
      </c>
      <c r="H522" s="4">
        <v>49607.07</v>
      </c>
      <c r="I522" s="8">
        <v>0.15</v>
      </c>
      <c r="J522" s="4">
        <v>25714.83</v>
      </c>
      <c r="K522" s="4" t="str">
        <f t="shared" si="32"/>
        <v>March</v>
      </c>
      <c r="L522">
        <f t="shared" si="33"/>
        <v>3</v>
      </c>
      <c r="M522" s="9">
        <f t="shared" si="34"/>
        <v>0.34139911499842679</v>
      </c>
      <c r="N522" s="9">
        <f t="shared" si="35"/>
        <v>6.9751910953659774E-4</v>
      </c>
    </row>
    <row r="523" spans="1:14" x14ac:dyDescent="0.35">
      <c r="A523" s="6">
        <v>45096</v>
      </c>
      <c r="B523" t="s">
        <v>9</v>
      </c>
      <c r="C523" t="s">
        <v>20</v>
      </c>
      <c r="D523" t="s">
        <v>25</v>
      </c>
      <c r="E523" t="s">
        <v>37</v>
      </c>
      <c r="F523" s="4">
        <v>4</v>
      </c>
      <c r="G523" s="4">
        <v>163137.60000000001</v>
      </c>
      <c r="H523" s="4">
        <v>115733.41</v>
      </c>
      <c r="I523" s="8">
        <v>0.1</v>
      </c>
      <c r="J523" s="4">
        <v>47404.19</v>
      </c>
      <c r="K523" s="4" t="str">
        <f t="shared" si="32"/>
        <v>June</v>
      </c>
      <c r="L523">
        <f t="shared" si="33"/>
        <v>6</v>
      </c>
      <c r="M523" s="9">
        <f t="shared" si="34"/>
        <v>0.29057795382548229</v>
      </c>
      <c r="N523" s="9">
        <f t="shared" si="35"/>
        <v>1.5107371625508342E-3</v>
      </c>
    </row>
    <row r="524" spans="1:14" x14ac:dyDescent="0.35">
      <c r="A524" s="6">
        <v>44989</v>
      </c>
      <c r="B524" t="s">
        <v>10</v>
      </c>
      <c r="C524" t="s">
        <v>14</v>
      </c>
      <c r="D524" t="s">
        <v>26</v>
      </c>
      <c r="E524" t="s">
        <v>35</v>
      </c>
      <c r="F524" s="4">
        <v>1</v>
      </c>
      <c r="G524" s="4">
        <v>37624.400000000001</v>
      </c>
      <c r="H524" s="4">
        <v>20822.71</v>
      </c>
      <c r="I524" s="8">
        <v>0.15</v>
      </c>
      <c r="J524" s="4">
        <v>16801.689999999999</v>
      </c>
      <c r="K524" s="4" t="str">
        <f t="shared" si="32"/>
        <v>March</v>
      </c>
      <c r="L524">
        <f t="shared" si="33"/>
        <v>3</v>
      </c>
      <c r="M524" s="9">
        <f t="shared" si="34"/>
        <v>0.44656366613155285</v>
      </c>
      <c r="N524" s="9">
        <f t="shared" si="35"/>
        <v>3.4842108317566033E-4</v>
      </c>
    </row>
    <row r="525" spans="1:14" x14ac:dyDescent="0.35">
      <c r="A525" s="6">
        <v>44987</v>
      </c>
      <c r="B525" t="s">
        <v>12</v>
      </c>
      <c r="C525" t="s">
        <v>23</v>
      </c>
      <c r="D525" t="s">
        <v>28</v>
      </c>
      <c r="E525" t="s">
        <v>39</v>
      </c>
      <c r="F525" s="4">
        <v>3</v>
      </c>
      <c r="G525" s="4">
        <v>15786.15</v>
      </c>
      <c r="H525" s="4">
        <v>8929.14</v>
      </c>
      <c r="I525" s="8">
        <v>0.05</v>
      </c>
      <c r="J525" s="4">
        <v>6857.01</v>
      </c>
      <c r="K525" s="4" t="str">
        <f t="shared" si="32"/>
        <v>March</v>
      </c>
      <c r="L525">
        <f t="shared" si="33"/>
        <v>3</v>
      </c>
      <c r="M525" s="9">
        <f t="shared" si="34"/>
        <v>0.43436873461863723</v>
      </c>
      <c r="N525" s="9">
        <f t="shared" si="35"/>
        <v>1.4618777926487731E-4</v>
      </c>
    </row>
    <row r="526" spans="1:14" x14ac:dyDescent="0.35">
      <c r="A526" s="6">
        <v>45064</v>
      </c>
      <c r="B526" t="s">
        <v>10</v>
      </c>
      <c r="C526" t="s">
        <v>22</v>
      </c>
      <c r="D526" t="s">
        <v>28</v>
      </c>
      <c r="E526" t="s">
        <v>36</v>
      </c>
      <c r="F526" s="4">
        <v>1</v>
      </c>
      <c r="G526" s="4">
        <v>20244.5</v>
      </c>
      <c r="H526" s="4">
        <v>13018.23</v>
      </c>
      <c r="I526" s="8">
        <v>0.05</v>
      </c>
      <c r="J526" s="4">
        <v>7226.27</v>
      </c>
      <c r="K526" s="4" t="str">
        <f t="shared" si="32"/>
        <v>May</v>
      </c>
      <c r="L526">
        <f t="shared" si="33"/>
        <v>5</v>
      </c>
      <c r="M526" s="9">
        <f t="shared" si="34"/>
        <v>0.3569497888315345</v>
      </c>
      <c r="N526" s="9">
        <f t="shared" si="35"/>
        <v>1.8747436818526423E-4</v>
      </c>
    </row>
    <row r="527" spans="1:14" x14ac:dyDescent="0.35">
      <c r="A527" s="6">
        <v>45284</v>
      </c>
      <c r="B527" t="s">
        <v>10</v>
      </c>
      <c r="C527" t="s">
        <v>19</v>
      </c>
      <c r="D527" t="s">
        <v>25</v>
      </c>
      <c r="E527" t="s">
        <v>29</v>
      </c>
      <c r="F527" s="4">
        <v>4</v>
      </c>
      <c r="G527" s="4">
        <v>25952</v>
      </c>
      <c r="H527" s="4">
        <v>19378.16</v>
      </c>
      <c r="I527" s="8">
        <v>0.2</v>
      </c>
      <c r="J527" s="4">
        <v>6573.84</v>
      </c>
      <c r="K527" s="4" t="str">
        <f t="shared" si="32"/>
        <v>December</v>
      </c>
      <c r="L527">
        <f t="shared" si="33"/>
        <v>12</v>
      </c>
      <c r="M527" s="9">
        <f t="shared" si="34"/>
        <v>0.25330764488286067</v>
      </c>
      <c r="N527" s="9">
        <f t="shared" si="35"/>
        <v>2.4032872153641617E-4</v>
      </c>
    </row>
    <row r="528" spans="1:14" x14ac:dyDescent="0.35">
      <c r="A528" s="6">
        <v>45135</v>
      </c>
      <c r="B528" t="s">
        <v>12</v>
      </c>
      <c r="C528" t="s">
        <v>21</v>
      </c>
      <c r="D528" t="s">
        <v>26</v>
      </c>
      <c r="E528" t="s">
        <v>35</v>
      </c>
      <c r="F528" s="4">
        <v>6</v>
      </c>
      <c r="G528" s="4">
        <v>167243.4</v>
      </c>
      <c r="H528" s="4">
        <v>124209.27</v>
      </c>
      <c r="I528" s="8">
        <v>0.1</v>
      </c>
      <c r="J528" s="4">
        <v>43034.13</v>
      </c>
      <c r="K528" s="4" t="str">
        <f t="shared" si="32"/>
        <v>July</v>
      </c>
      <c r="L528">
        <f t="shared" si="33"/>
        <v>7</v>
      </c>
      <c r="M528" s="9">
        <f t="shared" si="34"/>
        <v>0.25731436935627955</v>
      </c>
      <c r="N528" s="9">
        <f t="shared" si="35"/>
        <v>1.5487589591323776E-3</v>
      </c>
    </row>
    <row r="529" spans="1:14" x14ac:dyDescent="0.35">
      <c r="A529" s="6">
        <v>45279</v>
      </c>
      <c r="B529" t="s">
        <v>12</v>
      </c>
      <c r="C529" t="s">
        <v>23</v>
      </c>
      <c r="D529" t="s">
        <v>28</v>
      </c>
      <c r="E529" t="s">
        <v>42</v>
      </c>
      <c r="F529" s="4">
        <v>1</v>
      </c>
      <c r="G529" s="4">
        <v>17178</v>
      </c>
      <c r="H529" s="4">
        <v>13163.47</v>
      </c>
      <c r="I529" s="8">
        <v>0</v>
      </c>
      <c r="J529" s="4">
        <v>4014.53</v>
      </c>
      <c r="K529" s="4" t="str">
        <f t="shared" si="32"/>
        <v>December</v>
      </c>
      <c r="L529">
        <f t="shared" si="33"/>
        <v>12</v>
      </c>
      <c r="M529" s="9">
        <f t="shared" si="34"/>
        <v>0.23370182791943184</v>
      </c>
      <c r="N529" s="9">
        <f t="shared" si="35"/>
        <v>1.590770182857798E-4</v>
      </c>
    </row>
    <row r="530" spans="1:14" x14ac:dyDescent="0.35">
      <c r="A530" s="6">
        <v>45049</v>
      </c>
      <c r="B530" t="s">
        <v>10</v>
      </c>
      <c r="C530" t="s">
        <v>14</v>
      </c>
      <c r="D530" t="s">
        <v>27</v>
      </c>
      <c r="E530" t="s">
        <v>41</v>
      </c>
      <c r="F530" s="4">
        <v>3</v>
      </c>
      <c r="G530" s="4">
        <v>86604</v>
      </c>
      <c r="H530" s="4">
        <v>66549.17</v>
      </c>
      <c r="I530" s="8">
        <v>0.2</v>
      </c>
      <c r="J530" s="4">
        <v>20054.830000000002</v>
      </c>
      <c r="K530" s="4" t="str">
        <f t="shared" si="32"/>
        <v>May</v>
      </c>
      <c r="L530">
        <f t="shared" si="33"/>
        <v>5</v>
      </c>
      <c r="M530" s="9">
        <f t="shared" si="34"/>
        <v>0.23156932705186831</v>
      </c>
      <c r="N530" s="9">
        <f t="shared" si="35"/>
        <v>8.0199709463393137E-4</v>
      </c>
    </row>
    <row r="531" spans="1:14" x14ac:dyDescent="0.35">
      <c r="A531" s="6">
        <v>45261</v>
      </c>
      <c r="B531" t="s">
        <v>11</v>
      </c>
      <c r="C531" t="s">
        <v>18</v>
      </c>
      <c r="D531" t="s">
        <v>28</v>
      </c>
      <c r="E531" t="s">
        <v>44</v>
      </c>
      <c r="F531" s="4">
        <v>4</v>
      </c>
      <c r="G531" s="4">
        <v>97828.2</v>
      </c>
      <c r="H531" s="4">
        <v>57336.81</v>
      </c>
      <c r="I531" s="8">
        <v>0.15</v>
      </c>
      <c r="J531" s="4">
        <v>40491.39</v>
      </c>
      <c r="K531" s="4" t="str">
        <f t="shared" si="32"/>
        <v>December</v>
      </c>
      <c r="L531">
        <f t="shared" si="33"/>
        <v>12</v>
      </c>
      <c r="M531" s="9">
        <f t="shared" si="34"/>
        <v>0.41390304636086528</v>
      </c>
      <c r="N531" s="9">
        <f t="shared" si="35"/>
        <v>9.0593889627808366E-4</v>
      </c>
    </row>
    <row r="532" spans="1:14" x14ac:dyDescent="0.35">
      <c r="A532" s="6">
        <v>45131</v>
      </c>
      <c r="B532" t="s">
        <v>11</v>
      </c>
      <c r="C532" t="s">
        <v>18</v>
      </c>
      <c r="D532" t="s">
        <v>28</v>
      </c>
      <c r="E532" t="s">
        <v>42</v>
      </c>
      <c r="F532" s="4">
        <v>6</v>
      </c>
      <c r="G532" s="4">
        <v>60755.4</v>
      </c>
      <c r="H532" s="4">
        <v>42511.24</v>
      </c>
      <c r="I532" s="8">
        <v>0.1</v>
      </c>
      <c r="J532" s="4">
        <v>18244.16</v>
      </c>
      <c r="K532" s="4" t="str">
        <f t="shared" si="32"/>
        <v>July</v>
      </c>
      <c r="L532">
        <f t="shared" si="33"/>
        <v>7</v>
      </c>
      <c r="M532" s="9">
        <f t="shared" si="34"/>
        <v>0.30028869861773605</v>
      </c>
      <c r="N532" s="9">
        <f t="shared" si="35"/>
        <v>5.6262590969611518E-4</v>
      </c>
    </row>
    <row r="533" spans="1:14" x14ac:dyDescent="0.35">
      <c r="A533" s="6">
        <v>45055</v>
      </c>
      <c r="B533" t="s">
        <v>11</v>
      </c>
      <c r="C533" t="s">
        <v>18</v>
      </c>
      <c r="D533" t="s">
        <v>26</v>
      </c>
      <c r="E533" t="s">
        <v>35</v>
      </c>
      <c r="F533" s="4">
        <v>5</v>
      </c>
      <c r="G533" s="4">
        <v>127470.25</v>
      </c>
      <c r="H533" s="4">
        <v>76801.759999999995</v>
      </c>
      <c r="I533" s="8">
        <v>0.15</v>
      </c>
      <c r="J533" s="4">
        <v>50668.49</v>
      </c>
      <c r="K533" s="4" t="str">
        <f t="shared" si="32"/>
        <v>May</v>
      </c>
      <c r="L533">
        <f t="shared" si="33"/>
        <v>5</v>
      </c>
      <c r="M533" s="9">
        <f t="shared" si="34"/>
        <v>0.39749266985826104</v>
      </c>
      <c r="N533" s="9">
        <f t="shared" si="35"/>
        <v>1.1804393579079591E-3</v>
      </c>
    </row>
    <row r="534" spans="1:14" x14ac:dyDescent="0.35">
      <c r="A534" s="6">
        <v>45267</v>
      </c>
      <c r="B534" t="s">
        <v>9</v>
      </c>
      <c r="C534" t="s">
        <v>15</v>
      </c>
      <c r="D534" t="s">
        <v>28</v>
      </c>
      <c r="E534" t="s">
        <v>36</v>
      </c>
      <c r="F534" s="4">
        <v>2</v>
      </c>
      <c r="G534" s="4">
        <v>83160</v>
      </c>
      <c r="H534" s="4">
        <v>64948.52</v>
      </c>
      <c r="I534" s="8">
        <v>0</v>
      </c>
      <c r="J534" s="4">
        <v>18211.48</v>
      </c>
      <c r="K534" s="4" t="str">
        <f t="shared" si="32"/>
        <v>December</v>
      </c>
      <c r="L534">
        <f t="shared" si="33"/>
        <v>12</v>
      </c>
      <c r="M534" s="9">
        <f t="shared" si="34"/>
        <v>0.21899326599326599</v>
      </c>
      <c r="N534" s="9">
        <f t="shared" si="35"/>
        <v>7.7010390270377497E-4</v>
      </c>
    </row>
    <row r="535" spans="1:14" x14ac:dyDescent="0.35">
      <c r="A535" s="6">
        <v>45035</v>
      </c>
      <c r="B535" t="s">
        <v>11</v>
      </c>
      <c r="C535" t="s">
        <v>16</v>
      </c>
      <c r="D535" t="s">
        <v>27</v>
      </c>
      <c r="E535" t="s">
        <v>38</v>
      </c>
      <c r="F535" s="4">
        <v>2</v>
      </c>
      <c r="G535" s="4">
        <v>77540.800000000003</v>
      </c>
      <c r="H535" s="4">
        <v>57123.85</v>
      </c>
      <c r="I535" s="8">
        <v>0.2</v>
      </c>
      <c r="J535" s="4">
        <v>20416.95</v>
      </c>
      <c r="K535" s="4" t="str">
        <f t="shared" si="32"/>
        <v>April</v>
      </c>
      <c r="L535">
        <f t="shared" si="33"/>
        <v>4</v>
      </c>
      <c r="M535" s="9">
        <f t="shared" si="34"/>
        <v>0.26330589831417783</v>
      </c>
      <c r="N535" s="9">
        <f t="shared" si="35"/>
        <v>7.180672522699962E-4</v>
      </c>
    </row>
    <row r="536" spans="1:14" x14ac:dyDescent="0.35">
      <c r="A536" s="6">
        <v>45238</v>
      </c>
      <c r="B536" t="s">
        <v>9</v>
      </c>
      <c r="C536" t="s">
        <v>15</v>
      </c>
      <c r="D536" t="s">
        <v>25</v>
      </c>
      <c r="E536" t="s">
        <v>37</v>
      </c>
      <c r="F536" s="4">
        <v>5</v>
      </c>
      <c r="G536" s="4">
        <v>142217.75</v>
      </c>
      <c r="H536" s="4">
        <v>87106.84</v>
      </c>
      <c r="I536" s="8">
        <v>0.15</v>
      </c>
      <c r="J536" s="4">
        <v>55110.91</v>
      </c>
      <c r="K536" s="4" t="str">
        <f t="shared" si="32"/>
        <v>November</v>
      </c>
      <c r="L536">
        <f t="shared" si="33"/>
        <v>11</v>
      </c>
      <c r="M536" s="9">
        <f t="shared" si="34"/>
        <v>0.38751077133480177</v>
      </c>
      <c r="N536" s="9">
        <f t="shared" si="35"/>
        <v>1.3170087098214262E-3</v>
      </c>
    </row>
    <row r="537" spans="1:14" x14ac:dyDescent="0.35">
      <c r="A537" s="6">
        <v>45163</v>
      </c>
      <c r="B537" t="s">
        <v>10</v>
      </c>
      <c r="C537" t="s">
        <v>22</v>
      </c>
      <c r="D537" t="s">
        <v>27</v>
      </c>
      <c r="E537" t="s">
        <v>38</v>
      </c>
      <c r="F537" s="4">
        <v>5</v>
      </c>
      <c r="G537" s="4">
        <v>114703.25</v>
      </c>
      <c r="H537" s="4">
        <v>88110.33</v>
      </c>
      <c r="I537" s="8">
        <v>0.15</v>
      </c>
      <c r="J537" s="4">
        <v>26592.92</v>
      </c>
      <c r="K537" s="4" t="str">
        <f t="shared" si="32"/>
        <v>August</v>
      </c>
      <c r="L537">
        <f t="shared" si="33"/>
        <v>8</v>
      </c>
      <c r="M537" s="9">
        <f t="shared" si="34"/>
        <v>0.23184103327499436</v>
      </c>
      <c r="N537" s="9">
        <f t="shared" si="35"/>
        <v>1.0622104434560701E-3</v>
      </c>
    </row>
    <row r="538" spans="1:14" x14ac:dyDescent="0.35">
      <c r="A538" s="6">
        <v>45240</v>
      </c>
      <c r="B538" t="s">
        <v>9</v>
      </c>
      <c r="C538" t="s">
        <v>20</v>
      </c>
      <c r="D538" t="s">
        <v>26</v>
      </c>
      <c r="E538" t="s">
        <v>35</v>
      </c>
      <c r="F538" s="4">
        <v>5</v>
      </c>
      <c r="G538" s="4">
        <v>126573.25</v>
      </c>
      <c r="H538" s="4">
        <v>81434.7</v>
      </c>
      <c r="I538" s="8">
        <v>0.05</v>
      </c>
      <c r="J538" s="4">
        <v>45138.55</v>
      </c>
      <c r="K538" s="4" t="str">
        <f t="shared" si="32"/>
        <v>November</v>
      </c>
      <c r="L538">
        <f t="shared" si="33"/>
        <v>11</v>
      </c>
      <c r="M538" s="9">
        <f t="shared" si="34"/>
        <v>0.35661998092013913</v>
      </c>
      <c r="N538" s="9">
        <f t="shared" si="35"/>
        <v>1.1721326816125613E-3</v>
      </c>
    </row>
    <row r="539" spans="1:14" x14ac:dyDescent="0.35">
      <c r="A539" s="6">
        <v>44965</v>
      </c>
      <c r="B539" t="s">
        <v>9</v>
      </c>
      <c r="C539" t="s">
        <v>13</v>
      </c>
      <c r="D539" t="s">
        <v>27</v>
      </c>
      <c r="E539" t="s">
        <v>38</v>
      </c>
      <c r="F539" s="4">
        <v>5</v>
      </c>
      <c r="G539" s="4">
        <v>2862</v>
      </c>
      <c r="H539" s="4">
        <v>2167.16</v>
      </c>
      <c r="I539" s="8">
        <v>0.1</v>
      </c>
      <c r="J539" s="4">
        <v>694.84</v>
      </c>
      <c r="K539" s="4" t="str">
        <f t="shared" si="32"/>
        <v>February</v>
      </c>
      <c r="L539">
        <f t="shared" si="33"/>
        <v>2</v>
      </c>
      <c r="M539" s="9">
        <f t="shared" si="34"/>
        <v>0.24278127183787562</v>
      </c>
      <c r="N539" s="9">
        <f t="shared" si="35"/>
        <v>2.6503575872272777E-5</v>
      </c>
    </row>
    <row r="540" spans="1:14" x14ac:dyDescent="0.35">
      <c r="A540" s="6">
        <v>45239</v>
      </c>
      <c r="B540" t="s">
        <v>10</v>
      </c>
      <c r="C540" t="s">
        <v>14</v>
      </c>
      <c r="D540" t="s">
        <v>28</v>
      </c>
      <c r="E540" t="s">
        <v>39</v>
      </c>
      <c r="F540" s="4">
        <v>2</v>
      </c>
      <c r="G540" s="4">
        <v>66708</v>
      </c>
      <c r="H540" s="4">
        <v>42439.32</v>
      </c>
      <c r="I540" s="8">
        <v>0</v>
      </c>
      <c r="J540" s="4">
        <v>24268.68</v>
      </c>
      <c r="K540" s="4" t="str">
        <f t="shared" si="32"/>
        <v>November</v>
      </c>
      <c r="L540">
        <f t="shared" si="33"/>
        <v>11</v>
      </c>
      <c r="M540" s="9">
        <f t="shared" si="34"/>
        <v>0.36380464112250405</v>
      </c>
      <c r="N540" s="9">
        <f t="shared" si="35"/>
        <v>6.1775001372731391E-4</v>
      </c>
    </row>
    <row r="541" spans="1:14" x14ac:dyDescent="0.35">
      <c r="A541" s="6">
        <v>45038</v>
      </c>
      <c r="B541" t="s">
        <v>9</v>
      </c>
      <c r="C541" t="s">
        <v>20</v>
      </c>
      <c r="D541" t="s">
        <v>27</v>
      </c>
      <c r="E541" t="s">
        <v>38</v>
      </c>
      <c r="F541" s="4">
        <v>7</v>
      </c>
      <c r="G541" s="4">
        <v>12320</v>
      </c>
      <c r="H541" s="4">
        <v>8999.5400000000009</v>
      </c>
      <c r="I541" s="8">
        <v>0.2</v>
      </c>
      <c r="J541" s="4">
        <v>3320.46</v>
      </c>
      <c r="K541" s="4" t="str">
        <f t="shared" si="32"/>
        <v>April</v>
      </c>
      <c r="L541">
        <f t="shared" si="33"/>
        <v>4</v>
      </c>
      <c r="M541" s="9">
        <f t="shared" si="34"/>
        <v>0.26951785714285714</v>
      </c>
      <c r="N541" s="9">
        <f t="shared" si="35"/>
        <v>1.1408946706722593E-4</v>
      </c>
    </row>
    <row r="542" spans="1:14" x14ac:dyDescent="0.35">
      <c r="A542" s="6">
        <v>44944</v>
      </c>
      <c r="B542" t="s">
        <v>9</v>
      </c>
      <c r="C542" t="s">
        <v>13</v>
      </c>
      <c r="D542" t="s">
        <v>27</v>
      </c>
      <c r="E542" t="s">
        <v>40</v>
      </c>
      <c r="F542" s="4">
        <v>5</v>
      </c>
      <c r="G542" s="4">
        <v>85716</v>
      </c>
      <c r="H542" s="4">
        <v>62838.42</v>
      </c>
      <c r="I542" s="8">
        <v>0.2</v>
      </c>
      <c r="J542" s="4">
        <v>22877.58</v>
      </c>
      <c r="K542" s="4" t="str">
        <f t="shared" si="32"/>
        <v>January</v>
      </c>
      <c r="L542">
        <f t="shared" si="33"/>
        <v>1</v>
      </c>
      <c r="M542" s="9">
        <f t="shared" si="34"/>
        <v>0.2668997620047599</v>
      </c>
      <c r="N542" s="9">
        <f t="shared" si="35"/>
        <v>7.9377376291674823E-4</v>
      </c>
    </row>
    <row r="543" spans="1:14" x14ac:dyDescent="0.35">
      <c r="A543" s="6">
        <v>45048</v>
      </c>
      <c r="B543" t="s">
        <v>10</v>
      </c>
      <c r="C543" t="s">
        <v>19</v>
      </c>
      <c r="D543" t="s">
        <v>28</v>
      </c>
      <c r="E543" t="s">
        <v>39</v>
      </c>
      <c r="F543" s="4">
        <v>6</v>
      </c>
      <c r="G543" s="4">
        <v>227772</v>
      </c>
      <c r="H543" s="4">
        <v>166980.44</v>
      </c>
      <c r="I543" s="8">
        <v>0.1</v>
      </c>
      <c r="J543" s="4">
        <v>60791.56</v>
      </c>
      <c r="K543" s="4" t="str">
        <f t="shared" si="32"/>
        <v>May</v>
      </c>
      <c r="L543">
        <f t="shared" si="33"/>
        <v>5</v>
      </c>
      <c r="M543" s="9">
        <f t="shared" si="34"/>
        <v>0.26689654566847548</v>
      </c>
      <c r="N543" s="9">
        <f t="shared" si="35"/>
        <v>2.1092845854574823E-3</v>
      </c>
    </row>
    <row r="544" spans="1:14" x14ac:dyDescent="0.35">
      <c r="A544" s="6">
        <v>44937</v>
      </c>
      <c r="B544" t="s">
        <v>10</v>
      </c>
      <c r="C544" t="s">
        <v>22</v>
      </c>
      <c r="D544" t="s">
        <v>26</v>
      </c>
      <c r="E544" t="s">
        <v>35</v>
      </c>
      <c r="F544" s="4">
        <v>4</v>
      </c>
      <c r="G544" s="4">
        <v>119380</v>
      </c>
      <c r="H544" s="4">
        <v>71982.990000000005</v>
      </c>
      <c r="I544" s="8">
        <v>0</v>
      </c>
      <c r="J544" s="4">
        <v>47397.01</v>
      </c>
      <c r="K544" s="4" t="str">
        <f t="shared" si="32"/>
        <v>January</v>
      </c>
      <c r="L544">
        <f t="shared" si="33"/>
        <v>1</v>
      </c>
      <c r="M544" s="9">
        <f t="shared" si="34"/>
        <v>0.39702638632936843</v>
      </c>
      <c r="N544" s="9">
        <f t="shared" si="35"/>
        <v>1.1055195274744668E-3</v>
      </c>
    </row>
    <row r="545" spans="1:14" x14ac:dyDescent="0.35">
      <c r="A545" s="6">
        <v>45078</v>
      </c>
      <c r="B545" t="s">
        <v>10</v>
      </c>
      <c r="C545" t="s">
        <v>22</v>
      </c>
      <c r="D545" t="s">
        <v>25</v>
      </c>
      <c r="E545" t="s">
        <v>29</v>
      </c>
      <c r="F545" s="4">
        <v>6</v>
      </c>
      <c r="G545" s="4">
        <v>174798</v>
      </c>
      <c r="H545" s="4">
        <v>110807.67999999999</v>
      </c>
      <c r="I545" s="8">
        <v>0.1</v>
      </c>
      <c r="J545" s="4">
        <v>63990.32</v>
      </c>
      <c r="K545" s="4" t="str">
        <f t="shared" si="32"/>
        <v>June</v>
      </c>
      <c r="L545">
        <f t="shared" si="33"/>
        <v>6</v>
      </c>
      <c r="M545" s="9">
        <f t="shared" si="34"/>
        <v>0.36608153411366262</v>
      </c>
      <c r="N545" s="9">
        <f t="shared" si="35"/>
        <v>1.6187183980857921E-3</v>
      </c>
    </row>
    <row r="546" spans="1:14" x14ac:dyDescent="0.35">
      <c r="A546" s="6">
        <v>45256</v>
      </c>
      <c r="B546" t="s">
        <v>11</v>
      </c>
      <c r="C546" t="s">
        <v>17</v>
      </c>
      <c r="D546" t="s">
        <v>27</v>
      </c>
      <c r="E546" t="s">
        <v>38</v>
      </c>
      <c r="F546" s="4">
        <v>7</v>
      </c>
      <c r="G546" s="4">
        <v>141708</v>
      </c>
      <c r="H546" s="4">
        <v>97102.04</v>
      </c>
      <c r="I546" s="8">
        <v>0</v>
      </c>
      <c r="J546" s="4">
        <v>44605.96</v>
      </c>
      <c r="K546" s="4" t="str">
        <f t="shared" si="32"/>
        <v>November</v>
      </c>
      <c r="L546">
        <f t="shared" si="33"/>
        <v>11</v>
      </c>
      <c r="M546" s="9">
        <f t="shared" si="34"/>
        <v>0.31477376012645719</v>
      </c>
      <c r="N546" s="9">
        <f t="shared" si="35"/>
        <v>1.3122881655164328E-3</v>
      </c>
    </row>
    <row r="547" spans="1:14" x14ac:dyDescent="0.35">
      <c r="A547" s="6">
        <v>45172</v>
      </c>
      <c r="B547" t="s">
        <v>11</v>
      </c>
      <c r="C547" t="s">
        <v>17</v>
      </c>
      <c r="D547" t="s">
        <v>28</v>
      </c>
      <c r="E547" t="s">
        <v>39</v>
      </c>
      <c r="F547" s="4">
        <v>5</v>
      </c>
      <c r="G547" s="4">
        <v>123599.75</v>
      </c>
      <c r="H547" s="4">
        <v>80709.34</v>
      </c>
      <c r="I547" s="8">
        <v>0.05</v>
      </c>
      <c r="J547" s="4">
        <v>42890.41</v>
      </c>
      <c r="K547" s="4" t="str">
        <f t="shared" si="32"/>
        <v>September</v>
      </c>
      <c r="L547">
        <f t="shared" si="33"/>
        <v>9</v>
      </c>
      <c r="M547" s="9">
        <f t="shared" si="34"/>
        <v>0.3470104915260751</v>
      </c>
      <c r="N547" s="9">
        <f t="shared" si="35"/>
        <v>1.1445965590212953E-3</v>
      </c>
    </row>
    <row r="548" spans="1:14" x14ac:dyDescent="0.35">
      <c r="A548" s="6">
        <v>45243</v>
      </c>
      <c r="B548" t="s">
        <v>12</v>
      </c>
      <c r="C548" t="s">
        <v>24</v>
      </c>
      <c r="D548" t="s">
        <v>27</v>
      </c>
      <c r="E548" t="s">
        <v>31</v>
      </c>
      <c r="F548" s="4">
        <v>7</v>
      </c>
      <c r="G548" s="4">
        <v>234304</v>
      </c>
      <c r="H548" s="4">
        <v>157903.54</v>
      </c>
      <c r="I548" s="8">
        <v>0</v>
      </c>
      <c r="J548" s="4">
        <v>76400.460000000006</v>
      </c>
      <c r="K548" s="4" t="str">
        <f t="shared" si="32"/>
        <v>November</v>
      </c>
      <c r="L548">
        <f t="shared" si="33"/>
        <v>11</v>
      </c>
      <c r="M548" s="9">
        <f t="shared" si="34"/>
        <v>0.3260740747063644</v>
      </c>
      <c r="N548" s="9">
        <f t="shared" si="35"/>
        <v>2.1697742282239694E-3</v>
      </c>
    </row>
    <row r="549" spans="1:14" x14ac:dyDescent="0.35">
      <c r="A549" s="6">
        <v>45231</v>
      </c>
      <c r="B549" t="s">
        <v>12</v>
      </c>
      <c r="C549" t="s">
        <v>21</v>
      </c>
      <c r="D549" t="s">
        <v>26</v>
      </c>
      <c r="E549" t="s">
        <v>30</v>
      </c>
      <c r="F549" s="4">
        <v>2</v>
      </c>
      <c r="G549" s="4">
        <v>10656</v>
      </c>
      <c r="H549" s="4">
        <v>6904.71</v>
      </c>
      <c r="I549" s="8">
        <v>0.2</v>
      </c>
      <c r="J549" s="4">
        <v>3751.29</v>
      </c>
      <c r="K549" s="4" t="str">
        <f t="shared" si="32"/>
        <v>November</v>
      </c>
      <c r="L549">
        <f t="shared" si="33"/>
        <v>11</v>
      </c>
      <c r="M549" s="9">
        <f t="shared" si="34"/>
        <v>0.352035472972973</v>
      </c>
      <c r="N549" s="9">
        <f t="shared" si="35"/>
        <v>9.8679980606198017E-5</v>
      </c>
    </row>
    <row r="550" spans="1:14" x14ac:dyDescent="0.35">
      <c r="A550" s="6">
        <v>44943</v>
      </c>
      <c r="B550" t="s">
        <v>9</v>
      </c>
      <c r="C550" t="s">
        <v>15</v>
      </c>
      <c r="D550" t="s">
        <v>28</v>
      </c>
      <c r="E550" t="s">
        <v>39</v>
      </c>
      <c r="F550" s="4">
        <v>7</v>
      </c>
      <c r="G550" s="4">
        <v>181272</v>
      </c>
      <c r="H550" s="4">
        <v>100520.95</v>
      </c>
      <c r="I550" s="8">
        <v>0</v>
      </c>
      <c r="J550" s="4">
        <v>80751.05</v>
      </c>
      <c r="K550" s="4" t="str">
        <f t="shared" si="32"/>
        <v>January</v>
      </c>
      <c r="L550">
        <f t="shared" si="33"/>
        <v>1</v>
      </c>
      <c r="M550" s="9">
        <f t="shared" si="34"/>
        <v>0.44546896376715656</v>
      </c>
      <c r="N550" s="9">
        <f t="shared" si="35"/>
        <v>1.6786709313482287E-3</v>
      </c>
    </row>
    <row r="551" spans="1:14" x14ac:dyDescent="0.35">
      <c r="A551" s="6">
        <v>45208</v>
      </c>
      <c r="B551" t="s">
        <v>9</v>
      </c>
      <c r="C551" t="s">
        <v>13</v>
      </c>
      <c r="D551" t="s">
        <v>25</v>
      </c>
      <c r="E551" t="s">
        <v>33</v>
      </c>
      <c r="F551" s="4">
        <v>3</v>
      </c>
      <c r="G551" s="4">
        <v>97540.800000000003</v>
      </c>
      <c r="H551" s="4">
        <v>68971.740000000005</v>
      </c>
      <c r="I551" s="8">
        <v>0.2</v>
      </c>
      <c r="J551" s="4">
        <v>28569.06</v>
      </c>
      <c r="K551" s="4" t="str">
        <f t="shared" si="32"/>
        <v>October</v>
      </c>
      <c r="L551">
        <f t="shared" si="33"/>
        <v>10</v>
      </c>
      <c r="M551" s="9">
        <f t="shared" si="34"/>
        <v>0.29289343536243295</v>
      </c>
      <c r="N551" s="9">
        <f t="shared" si="35"/>
        <v>9.0327742608042785E-4</v>
      </c>
    </row>
    <row r="552" spans="1:14" x14ac:dyDescent="0.35">
      <c r="A552" s="6">
        <v>45044</v>
      </c>
      <c r="B552" t="s">
        <v>11</v>
      </c>
      <c r="C552" t="s">
        <v>16</v>
      </c>
      <c r="D552" t="s">
        <v>28</v>
      </c>
      <c r="E552" t="s">
        <v>44</v>
      </c>
      <c r="F552" s="4">
        <v>1</v>
      </c>
      <c r="G552" s="4">
        <v>33772</v>
      </c>
      <c r="H552" s="4">
        <v>22670.25</v>
      </c>
      <c r="I552" s="8">
        <v>0</v>
      </c>
      <c r="J552" s="4">
        <v>11101.75</v>
      </c>
      <c r="K552" s="4" t="str">
        <f t="shared" si="32"/>
        <v>April</v>
      </c>
      <c r="L552">
        <f t="shared" si="33"/>
        <v>4</v>
      </c>
      <c r="M552" s="9">
        <f t="shared" si="34"/>
        <v>0.32872645978917447</v>
      </c>
      <c r="N552" s="9">
        <f t="shared" si="35"/>
        <v>3.1274589949629495E-4</v>
      </c>
    </row>
    <row r="553" spans="1:14" x14ac:dyDescent="0.35">
      <c r="A553" s="6">
        <v>45065</v>
      </c>
      <c r="B553" t="s">
        <v>12</v>
      </c>
      <c r="C553" t="s">
        <v>21</v>
      </c>
      <c r="D553" t="s">
        <v>28</v>
      </c>
      <c r="E553" t="s">
        <v>39</v>
      </c>
      <c r="F553" s="4">
        <v>3</v>
      </c>
      <c r="G553" s="4">
        <v>114975</v>
      </c>
      <c r="H553" s="4">
        <v>88604.33</v>
      </c>
      <c r="I553" s="8">
        <v>0</v>
      </c>
      <c r="J553" s="4">
        <v>26370.67</v>
      </c>
      <c r="K553" s="4" t="str">
        <f t="shared" si="32"/>
        <v>May</v>
      </c>
      <c r="L553">
        <f t="shared" si="33"/>
        <v>5</v>
      </c>
      <c r="M553" s="9">
        <f t="shared" si="34"/>
        <v>0.22936003479017175</v>
      </c>
      <c r="N553" s="9">
        <f t="shared" si="35"/>
        <v>1.0647269866927193E-3</v>
      </c>
    </row>
    <row r="554" spans="1:14" x14ac:dyDescent="0.35">
      <c r="A554" s="6">
        <v>44948</v>
      </c>
      <c r="B554" t="s">
        <v>12</v>
      </c>
      <c r="C554" t="s">
        <v>24</v>
      </c>
      <c r="D554" t="s">
        <v>28</v>
      </c>
      <c r="E554" t="s">
        <v>39</v>
      </c>
      <c r="F554" s="4">
        <v>2</v>
      </c>
      <c r="G554" s="4">
        <v>83489.8</v>
      </c>
      <c r="H554" s="4">
        <v>47317.29</v>
      </c>
      <c r="I554" s="8">
        <v>0.05</v>
      </c>
      <c r="J554" s="4">
        <v>36172.51</v>
      </c>
      <c r="K554" s="4" t="str">
        <f t="shared" si="32"/>
        <v>January</v>
      </c>
      <c r="L554">
        <f t="shared" si="33"/>
        <v>1</v>
      </c>
      <c r="M554" s="9">
        <f t="shared" si="34"/>
        <v>0.43325663733773467</v>
      </c>
      <c r="N554" s="9">
        <f t="shared" si="35"/>
        <v>7.7315801846990911E-4</v>
      </c>
    </row>
    <row r="555" spans="1:14" x14ac:dyDescent="0.35">
      <c r="A555" s="6">
        <v>45099</v>
      </c>
      <c r="B555" t="s">
        <v>10</v>
      </c>
      <c r="C555" t="s">
        <v>22</v>
      </c>
      <c r="D555" t="s">
        <v>27</v>
      </c>
      <c r="E555" t="s">
        <v>31</v>
      </c>
      <c r="F555" s="4">
        <v>4</v>
      </c>
      <c r="G555" s="4">
        <v>87743.8</v>
      </c>
      <c r="H555" s="4">
        <v>62480.56</v>
      </c>
      <c r="I555" s="8">
        <v>0.15</v>
      </c>
      <c r="J555" s="4">
        <v>25263.24</v>
      </c>
      <c r="K555" s="4" t="str">
        <f t="shared" si="32"/>
        <v>June</v>
      </c>
      <c r="L555">
        <f t="shared" si="33"/>
        <v>6</v>
      </c>
      <c r="M555" s="9">
        <f t="shared" si="34"/>
        <v>0.28792051404201779</v>
      </c>
      <c r="N555" s="9">
        <f t="shared" si="35"/>
        <v>8.125522224393879E-4</v>
      </c>
    </row>
    <row r="556" spans="1:14" x14ac:dyDescent="0.35">
      <c r="A556" s="6">
        <v>45049</v>
      </c>
      <c r="B556" t="s">
        <v>10</v>
      </c>
      <c r="C556" t="s">
        <v>19</v>
      </c>
      <c r="D556" t="s">
        <v>27</v>
      </c>
      <c r="E556" t="s">
        <v>38</v>
      </c>
      <c r="F556" s="4">
        <v>6</v>
      </c>
      <c r="G556" s="4">
        <v>14698.2</v>
      </c>
      <c r="H556" s="4">
        <v>11748.21</v>
      </c>
      <c r="I556" s="8">
        <v>0.15</v>
      </c>
      <c r="J556" s="4">
        <v>2949.99</v>
      </c>
      <c r="K556" s="4" t="str">
        <f t="shared" si="32"/>
        <v>May</v>
      </c>
      <c r="L556">
        <f t="shared" si="33"/>
        <v>5</v>
      </c>
      <c r="M556" s="9">
        <f t="shared" si="34"/>
        <v>0.20070416785728862</v>
      </c>
      <c r="N556" s="9">
        <f t="shared" si="35"/>
        <v>1.3611280883502438E-4</v>
      </c>
    </row>
    <row r="557" spans="1:14" x14ac:dyDescent="0.35">
      <c r="A557" s="6">
        <v>45058</v>
      </c>
      <c r="B557" t="s">
        <v>10</v>
      </c>
      <c r="C557" t="s">
        <v>14</v>
      </c>
      <c r="D557" t="s">
        <v>25</v>
      </c>
      <c r="E557" t="s">
        <v>29</v>
      </c>
      <c r="F557" s="4">
        <v>3</v>
      </c>
      <c r="G557" s="4">
        <v>127637.1</v>
      </c>
      <c r="H557" s="4">
        <v>92748.59</v>
      </c>
      <c r="I557" s="8">
        <v>0.1</v>
      </c>
      <c r="J557" s="4">
        <v>34888.51</v>
      </c>
      <c r="K557" s="4" t="str">
        <f t="shared" si="32"/>
        <v>May</v>
      </c>
      <c r="L557">
        <f t="shared" si="33"/>
        <v>5</v>
      </c>
      <c r="M557" s="9">
        <f t="shared" si="34"/>
        <v>0.27334145009562266</v>
      </c>
      <c r="N557" s="9">
        <f t="shared" si="35"/>
        <v>1.1819844737829726E-3</v>
      </c>
    </row>
    <row r="558" spans="1:14" x14ac:dyDescent="0.35">
      <c r="A558" s="6">
        <v>45182</v>
      </c>
      <c r="B558" t="s">
        <v>9</v>
      </c>
      <c r="C558" t="s">
        <v>15</v>
      </c>
      <c r="D558" t="s">
        <v>28</v>
      </c>
      <c r="E558" t="s">
        <v>42</v>
      </c>
      <c r="F558" s="4">
        <v>3</v>
      </c>
      <c r="G558" s="4">
        <v>23020.2</v>
      </c>
      <c r="H558" s="4">
        <v>17445.669999999998</v>
      </c>
      <c r="I558" s="8">
        <v>0.1</v>
      </c>
      <c r="J558" s="4">
        <v>5574.53</v>
      </c>
      <c r="K558" s="4" t="str">
        <f t="shared" si="32"/>
        <v>September</v>
      </c>
      <c r="L558">
        <f t="shared" si="33"/>
        <v>9</v>
      </c>
      <c r="M558" s="9">
        <f t="shared" si="34"/>
        <v>0.24215819150137705</v>
      </c>
      <c r="N558" s="9">
        <f t="shared" si="35"/>
        <v>2.1317876215754501E-4</v>
      </c>
    </row>
    <row r="559" spans="1:14" x14ac:dyDescent="0.35">
      <c r="A559" s="6">
        <v>44974</v>
      </c>
      <c r="B559" t="s">
        <v>12</v>
      </c>
      <c r="C559" t="s">
        <v>23</v>
      </c>
      <c r="D559" t="s">
        <v>26</v>
      </c>
      <c r="E559" t="s">
        <v>35</v>
      </c>
      <c r="F559" s="4">
        <v>4</v>
      </c>
      <c r="G559" s="4">
        <v>58844.800000000003</v>
      </c>
      <c r="H559" s="4">
        <v>33889.879999999997</v>
      </c>
      <c r="I559" s="8">
        <v>0.2</v>
      </c>
      <c r="J559" s="4">
        <v>24954.92</v>
      </c>
      <c r="K559" s="4" t="str">
        <f t="shared" si="32"/>
        <v>February</v>
      </c>
      <c r="L559">
        <f t="shared" si="33"/>
        <v>2</v>
      </c>
      <c r="M559" s="9">
        <f t="shared" si="34"/>
        <v>0.42408029256620799</v>
      </c>
      <c r="N559" s="9">
        <f t="shared" si="35"/>
        <v>5.4493278179200465E-4</v>
      </c>
    </row>
    <row r="560" spans="1:14" x14ac:dyDescent="0.35">
      <c r="A560" s="6">
        <v>45240</v>
      </c>
      <c r="B560" t="s">
        <v>12</v>
      </c>
      <c r="C560" t="s">
        <v>23</v>
      </c>
      <c r="D560" t="s">
        <v>28</v>
      </c>
      <c r="E560" t="s">
        <v>36</v>
      </c>
      <c r="F560" s="4">
        <v>5</v>
      </c>
      <c r="G560" s="4">
        <v>15756</v>
      </c>
      <c r="H560" s="4">
        <v>10045.25</v>
      </c>
      <c r="I560" s="8">
        <v>0.2</v>
      </c>
      <c r="J560" s="4">
        <v>5710.75</v>
      </c>
      <c r="K560" s="4" t="str">
        <f t="shared" si="32"/>
        <v>November</v>
      </c>
      <c r="L560">
        <f t="shared" si="33"/>
        <v>11</v>
      </c>
      <c r="M560" s="9">
        <f t="shared" si="34"/>
        <v>0.36244922569179994</v>
      </c>
      <c r="N560" s="9">
        <f t="shared" si="35"/>
        <v>1.459085749278581E-4</v>
      </c>
    </row>
    <row r="561" spans="1:14" x14ac:dyDescent="0.35">
      <c r="A561" s="6">
        <v>44997</v>
      </c>
      <c r="B561" t="s">
        <v>11</v>
      </c>
      <c r="C561" t="s">
        <v>16</v>
      </c>
      <c r="D561" t="s">
        <v>25</v>
      </c>
      <c r="E561" t="s">
        <v>33</v>
      </c>
      <c r="F561" s="4">
        <v>3</v>
      </c>
      <c r="G561" s="4">
        <v>63125.25</v>
      </c>
      <c r="H561" s="4">
        <v>46432.62</v>
      </c>
      <c r="I561" s="8">
        <v>0.15</v>
      </c>
      <c r="J561" s="4">
        <v>16692.63</v>
      </c>
      <c r="K561" s="4" t="str">
        <f t="shared" si="32"/>
        <v>March</v>
      </c>
      <c r="L561">
        <f t="shared" si="33"/>
        <v>3</v>
      </c>
      <c r="M561" s="9">
        <f t="shared" si="34"/>
        <v>0.26443665569641311</v>
      </c>
      <c r="N561" s="9">
        <f t="shared" si="35"/>
        <v>5.8457192621634774E-4</v>
      </c>
    </row>
    <row r="562" spans="1:14" x14ac:dyDescent="0.35">
      <c r="A562" s="6">
        <v>45141</v>
      </c>
      <c r="B562" t="s">
        <v>11</v>
      </c>
      <c r="C562" t="s">
        <v>16</v>
      </c>
      <c r="D562" t="s">
        <v>25</v>
      </c>
      <c r="E562" t="s">
        <v>37</v>
      </c>
      <c r="F562" s="4">
        <v>6</v>
      </c>
      <c r="G562" s="4">
        <v>206568</v>
      </c>
      <c r="H562" s="4">
        <v>160515.14000000001</v>
      </c>
      <c r="I562" s="8">
        <v>0.05</v>
      </c>
      <c r="J562" s="4">
        <v>46052.86</v>
      </c>
      <c r="K562" s="4" t="str">
        <f t="shared" si="32"/>
        <v>August</v>
      </c>
      <c r="L562">
        <f t="shared" si="33"/>
        <v>8</v>
      </c>
      <c r="M562" s="9">
        <f t="shared" si="34"/>
        <v>0.22294285658959762</v>
      </c>
      <c r="N562" s="9">
        <f t="shared" si="35"/>
        <v>1.9129247591836629E-3</v>
      </c>
    </row>
    <row r="563" spans="1:14" x14ac:dyDescent="0.35">
      <c r="A563" s="6">
        <v>44988</v>
      </c>
      <c r="B563" t="s">
        <v>9</v>
      </c>
      <c r="C563" t="s">
        <v>15</v>
      </c>
      <c r="D563" t="s">
        <v>27</v>
      </c>
      <c r="E563" t="s">
        <v>31</v>
      </c>
      <c r="F563" s="4">
        <v>2</v>
      </c>
      <c r="G563" s="4">
        <v>1582.4</v>
      </c>
      <c r="H563" s="4">
        <v>1084.5999999999999</v>
      </c>
      <c r="I563" s="8">
        <v>0.2</v>
      </c>
      <c r="J563" s="4">
        <v>497.8</v>
      </c>
      <c r="K563" s="4" t="str">
        <f t="shared" si="32"/>
        <v>March</v>
      </c>
      <c r="L563">
        <f t="shared" si="33"/>
        <v>3</v>
      </c>
      <c r="M563" s="9">
        <f t="shared" si="34"/>
        <v>0.3145854398382204</v>
      </c>
      <c r="N563" s="9">
        <f t="shared" si="35"/>
        <v>1.4653828951881357E-5</v>
      </c>
    </row>
    <row r="564" spans="1:14" x14ac:dyDescent="0.35">
      <c r="A564" s="6">
        <v>45163</v>
      </c>
      <c r="B564" t="s">
        <v>10</v>
      </c>
      <c r="C564" t="s">
        <v>19</v>
      </c>
      <c r="D564" t="s">
        <v>27</v>
      </c>
      <c r="E564" t="s">
        <v>38</v>
      </c>
      <c r="F564" s="4">
        <v>3</v>
      </c>
      <c r="G564" s="4">
        <v>89966.7</v>
      </c>
      <c r="H564" s="4">
        <v>53651.03</v>
      </c>
      <c r="I564" s="8">
        <v>0.1</v>
      </c>
      <c r="J564" s="4">
        <v>36315.67</v>
      </c>
      <c r="K564" s="4" t="str">
        <f t="shared" si="32"/>
        <v>August</v>
      </c>
      <c r="L564">
        <f t="shared" si="33"/>
        <v>8</v>
      </c>
      <c r="M564" s="9">
        <f t="shared" si="34"/>
        <v>0.40365679745950445</v>
      </c>
      <c r="N564" s="9">
        <f t="shared" si="35"/>
        <v>8.3313740720754824E-4</v>
      </c>
    </row>
    <row r="565" spans="1:14" x14ac:dyDescent="0.35">
      <c r="A565" s="6">
        <v>45262</v>
      </c>
      <c r="B565" t="s">
        <v>9</v>
      </c>
      <c r="C565" t="s">
        <v>20</v>
      </c>
      <c r="D565" t="s">
        <v>28</v>
      </c>
      <c r="E565" t="s">
        <v>36</v>
      </c>
      <c r="F565" s="4">
        <v>4</v>
      </c>
      <c r="G565" s="4">
        <v>143170.6</v>
      </c>
      <c r="H565" s="4">
        <v>105436.32</v>
      </c>
      <c r="I565" s="8">
        <v>0.15</v>
      </c>
      <c r="J565" s="4">
        <v>37734.28</v>
      </c>
      <c r="K565" s="4" t="str">
        <f t="shared" si="32"/>
        <v>December</v>
      </c>
      <c r="L565">
        <f t="shared" si="33"/>
        <v>12</v>
      </c>
      <c r="M565" s="9">
        <f t="shared" si="34"/>
        <v>0.26356165302094142</v>
      </c>
      <c r="N565" s="9">
        <f t="shared" si="35"/>
        <v>1.3258325855271898E-3</v>
      </c>
    </row>
    <row r="566" spans="1:14" x14ac:dyDescent="0.35">
      <c r="A566" s="6">
        <v>44988</v>
      </c>
      <c r="B566" t="s">
        <v>12</v>
      </c>
      <c r="C566" t="s">
        <v>24</v>
      </c>
      <c r="D566" t="s">
        <v>28</v>
      </c>
      <c r="E566" t="s">
        <v>36</v>
      </c>
      <c r="F566" s="4">
        <v>4</v>
      </c>
      <c r="G566" s="4">
        <v>129675</v>
      </c>
      <c r="H566" s="4">
        <v>102394.55</v>
      </c>
      <c r="I566" s="8">
        <v>0.05</v>
      </c>
      <c r="J566" s="4">
        <v>27280.45</v>
      </c>
      <c r="K566" s="4" t="str">
        <f t="shared" si="32"/>
        <v>March</v>
      </c>
      <c r="L566">
        <f t="shared" si="33"/>
        <v>3</v>
      </c>
      <c r="M566" s="9">
        <f t="shared" si="34"/>
        <v>0.21037555427029112</v>
      </c>
      <c r="N566" s="9">
        <f t="shared" si="35"/>
        <v>1.2008564644433865E-3</v>
      </c>
    </row>
    <row r="567" spans="1:14" x14ac:dyDescent="0.35">
      <c r="A567" s="6">
        <v>45099</v>
      </c>
      <c r="B567" t="s">
        <v>10</v>
      </c>
      <c r="C567" t="s">
        <v>14</v>
      </c>
      <c r="D567" t="s">
        <v>25</v>
      </c>
      <c r="E567" t="s">
        <v>29</v>
      </c>
      <c r="F567" s="4">
        <v>6</v>
      </c>
      <c r="G567" s="4">
        <v>61084.800000000003</v>
      </c>
      <c r="H567" s="4">
        <v>38552.32</v>
      </c>
      <c r="I567" s="8">
        <v>0.2</v>
      </c>
      <c r="J567" s="4">
        <v>22532.48</v>
      </c>
      <c r="K567" s="4" t="str">
        <f t="shared" si="32"/>
        <v>June</v>
      </c>
      <c r="L567">
        <f t="shared" si="33"/>
        <v>6</v>
      </c>
      <c r="M567" s="9">
        <f t="shared" si="34"/>
        <v>0.36887212530776886</v>
      </c>
      <c r="N567" s="9">
        <f t="shared" si="35"/>
        <v>5.6567632125877293E-4</v>
      </c>
    </row>
    <row r="568" spans="1:14" x14ac:dyDescent="0.35">
      <c r="A568" s="6">
        <v>45000</v>
      </c>
      <c r="B568" t="s">
        <v>11</v>
      </c>
      <c r="C568" t="s">
        <v>16</v>
      </c>
      <c r="D568" t="s">
        <v>28</v>
      </c>
      <c r="E568" t="s">
        <v>36</v>
      </c>
      <c r="F568" s="4">
        <v>5</v>
      </c>
      <c r="G568" s="4">
        <v>6043.5</v>
      </c>
      <c r="H568" s="4">
        <v>4568.53</v>
      </c>
      <c r="I568" s="8">
        <v>0.15</v>
      </c>
      <c r="J568" s="4">
        <v>1474.97</v>
      </c>
      <c r="K568" s="4" t="str">
        <f t="shared" si="32"/>
        <v>March</v>
      </c>
      <c r="L568">
        <f t="shared" si="33"/>
        <v>3</v>
      </c>
      <c r="M568" s="9">
        <f t="shared" si="34"/>
        <v>0.24405890626292712</v>
      </c>
      <c r="N568" s="9">
        <f t="shared" si="35"/>
        <v>5.5965884271167198E-5</v>
      </c>
    </row>
    <row r="569" spans="1:14" x14ac:dyDescent="0.35">
      <c r="A569" s="6">
        <v>45266</v>
      </c>
      <c r="B569" t="s">
        <v>9</v>
      </c>
      <c r="C569" t="s">
        <v>13</v>
      </c>
      <c r="D569" t="s">
        <v>25</v>
      </c>
      <c r="E569" t="s">
        <v>29</v>
      </c>
      <c r="F569" s="4">
        <v>4</v>
      </c>
      <c r="G569" s="4">
        <v>83405.399999999994</v>
      </c>
      <c r="H569" s="4">
        <v>62004.88</v>
      </c>
      <c r="I569" s="8">
        <v>0.15</v>
      </c>
      <c r="J569" s="4">
        <v>21400.52</v>
      </c>
      <c r="K569" s="4" t="str">
        <f t="shared" si="32"/>
        <v>December</v>
      </c>
      <c r="L569">
        <f t="shared" si="33"/>
        <v>12</v>
      </c>
      <c r="M569" s="9">
        <f t="shared" si="34"/>
        <v>0.25658434585770229</v>
      </c>
      <c r="N569" s="9">
        <f t="shared" si="35"/>
        <v>7.7237643153642895E-4</v>
      </c>
    </row>
    <row r="570" spans="1:14" x14ac:dyDescent="0.35">
      <c r="A570" s="6">
        <v>45089</v>
      </c>
      <c r="B570" t="s">
        <v>11</v>
      </c>
      <c r="C570" t="s">
        <v>16</v>
      </c>
      <c r="D570" t="s">
        <v>26</v>
      </c>
      <c r="E570" t="s">
        <v>30</v>
      </c>
      <c r="F570" s="4">
        <v>1</v>
      </c>
      <c r="G570" s="4">
        <v>3398.4</v>
      </c>
      <c r="H570" s="4">
        <v>2616.08</v>
      </c>
      <c r="I570" s="8">
        <v>0.2</v>
      </c>
      <c r="J570" s="4">
        <v>782.32</v>
      </c>
      <c r="K570" s="4" t="str">
        <f t="shared" si="32"/>
        <v>June</v>
      </c>
      <c r="L570">
        <f t="shared" si="33"/>
        <v>6</v>
      </c>
      <c r="M570" s="9">
        <f t="shared" si="34"/>
        <v>0.23020244821092278</v>
      </c>
      <c r="N570" s="9">
        <f t="shared" si="35"/>
        <v>3.1470912733868556E-5</v>
      </c>
    </row>
    <row r="571" spans="1:14" x14ac:dyDescent="0.35">
      <c r="A571" s="6">
        <v>45113</v>
      </c>
      <c r="B571" t="s">
        <v>9</v>
      </c>
      <c r="C571" t="s">
        <v>13</v>
      </c>
      <c r="D571" t="s">
        <v>26</v>
      </c>
      <c r="E571" t="s">
        <v>30</v>
      </c>
      <c r="F571" s="4">
        <v>6</v>
      </c>
      <c r="G571" s="4">
        <v>203742</v>
      </c>
      <c r="H571" s="4">
        <v>157794.06</v>
      </c>
      <c r="I571" s="8">
        <v>0</v>
      </c>
      <c r="J571" s="4">
        <v>45947.94</v>
      </c>
      <c r="K571" s="4" t="str">
        <f t="shared" si="32"/>
        <v>July</v>
      </c>
      <c r="L571">
        <f t="shared" si="33"/>
        <v>7</v>
      </c>
      <c r="M571" s="9">
        <f t="shared" si="34"/>
        <v>0.22552021674470654</v>
      </c>
      <c r="N571" s="9">
        <f t="shared" si="35"/>
        <v>1.8867545616242489E-3</v>
      </c>
    </row>
    <row r="572" spans="1:14" x14ac:dyDescent="0.35">
      <c r="A572" s="6">
        <v>45257</v>
      </c>
      <c r="B572" t="s">
        <v>11</v>
      </c>
      <c r="C572" t="s">
        <v>17</v>
      </c>
      <c r="D572" t="s">
        <v>27</v>
      </c>
      <c r="E572" t="s">
        <v>40</v>
      </c>
      <c r="F572" s="4">
        <v>5</v>
      </c>
      <c r="G572" s="4">
        <v>139654.75</v>
      </c>
      <c r="H572" s="4">
        <v>106307.69</v>
      </c>
      <c r="I572" s="8">
        <v>0.05</v>
      </c>
      <c r="J572" s="4">
        <v>33347.06</v>
      </c>
      <c r="K572" s="4" t="str">
        <f t="shared" si="32"/>
        <v>November</v>
      </c>
      <c r="L572">
        <f t="shared" si="33"/>
        <v>11</v>
      </c>
      <c r="M572" s="9">
        <f t="shared" si="34"/>
        <v>0.23878213952622449</v>
      </c>
      <c r="N572" s="9">
        <f t="shared" si="35"/>
        <v>1.2932740260476194E-3</v>
      </c>
    </row>
    <row r="573" spans="1:14" x14ac:dyDescent="0.35">
      <c r="A573" s="6">
        <v>45225</v>
      </c>
      <c r="B573" t="s">
        <v>12</v>
      </c>
      <c r="C573" t="s">
        <v>24</v>
      </c>
      <c r="D573" t="s">
        <v>27</v>
      </c>
      <c r="E573" t="s">
        <v>31</v>
      </c>
      <c r="F573" s="4">
        <v>6</v>
      </c>
      <c r="G573" s="4">
        <v>194416.2</v>
      </c>
      <c r="H573" s="4">
        <v>155479.14000000001</v>
      </c>
      <c r="I573" s="8">
        <v>0.1</v>
      </c>
      <c r="J573" s="4">
        <v>38937.06</v>
      </c>
      <c r="K573" s="4" t="str">
        <f t="shared" si="32"/>
        <v>October</v>
      </c>
      <c r="L573">
        <f t="shared" si="33"/>
        <v>10</v>
      </c>
      <c r="M573" s="9">
        <f t="shared" si="34"/>
        <v>0.2002768287827866</v>
      </c>
      <c r="N573" s="9">
        <f t="shared" si="35"/>
        <v>1.8003929096781827E-3</v>
      </c>
    </row>
    <row r="574" spans="1:14" x14ac:dyDescent="0.35">
      <c r="A574" s="6">
        <v>45089</v>
      </c>
      <c r="B574" t="s">
        <v>12</v>
      </c>
      <c r="C574" t="s">
        <v>21</v>
      </c>
      <c r="D574" t="s">
        <v>25</v>
      </c>
      <c r="E574" t="s">
        <v>37</v>
      </c>
      <c r="F574" s="4">
        <v>5</v>
      </c>
      <c r="G574" s="4">
        <v>124114.5</v>
      </c>
      <c r="H574" s="4">
        <v>99218.01</v>
      </c>
      <c r="I574" s="8">
        <v>0.1</v>
      </c>
      <c r="J574" s="4">
        <v>24896.49</v>
      </c>
      <c r="K574" s="4" t="str">
        <f t="shared" si="32"/>
        <v>June</v>
      </c>
      <c r="L574">
        <f t="shared" si="33"/>
        <v>6</v>
      </c>
      <c r="M574" s="9">
        <f t="shared" si="34"/>
        <v>0.20059292024702996</v>
      </c>
      <c r="N574" s="9">
        <f t="shared" si="35"/>
        <v>1.1493634058697413E-3</v>
      </c>
    </row>
    <row r="575" spans="1:14" x14ac:dyDescent="0.35">
      <c r="A575" s="6">
        <v>45230</v>
      </c>
      <c r="B575" t="s">
        <v>9</v>
      </c>
      <c r="C575" t="s">
        <v>15</v>
      </c>
      <c r="D575" t="s">
        <v>26</v>
      </c>
      <c r="E575" t="s">
        <v>43</v>
      </c>
      <c r="F575" s="4">
        <v>5</v>
      </c>
      <c r="G575" s="4">
        <v>153501.5</v>
      </c>
      <c r="H575" s="4">
        <v>118645.56</v>
      </c>
      <c r="I575" s="8">
        <v>0.15</v>
      </c>
      <c r="J575" s="4">
        <v>34855.94</v>
      </c>
      <c r="K575" s="4" t="str">
        <f t="shared" si="32"/>
        <v>October</v>
      </c>
      <c r="L575">
        <f t="shared" si="33"/>
        <v>10</v>
      </c>
      <c r="M575" s="9">
        <f t="shared" si="34"/>
        <v>0.22707230873965403</v>
      </c>
      <c r="N575" s="9">
        <f t="shared" si="35"/>
        <v>1.421501974758099E-3</v>
      </c>
    </row>
    <row r="576" spans="1:14" x14ac:dyDescent="0.35">
      <c r="A576" s="6">
        <v>45282</v>
      </c>
      <c r="B576" t="s">
        <v>12</v>
      </c>
      <c r="C576" t="s">
        <v>21</v>
      </c>
      <c r="D576" t="s">
        <v>28</v>
      </c>
      <c r="E576" t="s">
        <v>36</v>
      </c>
      <c r="F576" s="4">
        <v>7</v>
      </c>
      <c r="G576" s="4">
        <v>292393.84999999998</v>
      </c>
      <c r="H576" s="4">
        <v>212435.72</v>
      </c>
      <c r="I576" s="8">
        <v>0.05</v>
      </c>
      <c r="J576" s="4">
        <v>79958.13</v>
      </c>
      <c r="K576" s="4" t="str">
        <f t="shared" si="32"/>
        <v>December</v>
      </c>
      <c r="L576">
        <f t="shared" si="33"/>
        <v>12</v>
      </c>
      <c r="M576" s="9">
        <f t="shared" si="34"/>
        <v>0.27346036860898409</v>
      </c>
      <c r="N576" s="9">
        <f t="shared" si="35"/>
        <v>2.7077157889800647E-3</v>
      </c>
    </row>
    <row r="577" spans="1:14" x14ac:dyDescent="0.35">
      <c r="A577" s="6">
        <v>45123</v>
      </c>
      <c r="B577" t="s">
        <v>11</v>
      </c>
      <c r="C577" t="s">
        <v>17</v>
      </c>
      <c r="D577" t="s">
        <v>25</v>
      </c>
      <c r="E577" t="s">
        <v>37</v>
      </c>
      <c r="F577" s="4">
        <v>3</v>
      </c>
      <c r="G577" s="4">
        <v>66131.100000000006</v>
      </c>
      <c r="H577" s="4">
        <v>51886.69</v>
      </c>
      <c r="I577" s="8">
        <v>0.1</v>
      </c>
      <c r="J577" s="4">
        <v>14244.41</v>
      </c>
      <c r="K577" s="4" t="str">
        <f t="shared" si="32"/>
        <v>July</v>
      </c>
      <c r="L577">
        <f t="shared" si="33"/>
        <v>7</v>
      </c>
      <c r="M577" s="9">
        <f t="shared" si="34"/>
        <v>0.21539653808873585</v>
      </c>
      <c r="N577" s="9">
        <f t="shared" si="35"/>
        <v>6.1240762626375205E-4</v>
      </c>
    </row>
    <row r="578" spans="1:14" x14ac:dyDescent="0.35">
      <c r="A578" s="6">
        <v>44945</v>
      </c>
      <c r="B578" t="s">
        <v>12</v>
      </c>
      <c r="C578" t="s">
        <v>23</v>
      </c>
      <c r="D578" t="s">
        <v>28</v>
      </c>
      <c r="E578" t="s">
        <v>42</v>
      </c>
      <c r="F578" s="4">
        <v>1</v>
      </c>
      <c r="G578" s="4">
        <v>26668</v>
      </c>
      <c r="H578" s="4">
        <v>18923.09</v>
      </c>
      <c r="I578" s="8">
        <v>0.2</v>
      </c>
      <c r="J578" s="4">
        <v>7744.91</v>
      </c>
      <c r="K578" s="4" t="str">
        <f t="shared" si="32"/>
        <v>January</v>
      </c>
      <c r="L578">
        <f t="shared" si="33"/>
        <v>1</v>
      </c>
      <c r="M578" s="9">
        <f t="shared" si="34"/>
        <v>0.29041960401979899</v>
      </c>
      <c r="N578" s="9">
        <f t="shared" si="35"/>
        <v>2.4695924575882962E-4</v>
      </c>
    </row>
    <row r="579" spans="1:14" x14ac:dyDescent="0.35">
      <c r="A579" s="6">
        <v>45065</v>
      </c>
      <c r="B579" t="s">
        <v>9</v>
      </c>
      <c r="C579" t="s">
        <v>20</v>
      </c>
      <c r="D579" t="s">
        <v>28</v>
      </c>
      <c r="E579" t="s">
        <v>39</v>
      </c>
      <c r="F579" s="4">
        <v>3</v>
      </c>
      <c r="G579" s="4">
        <v>104390.1</v>
      </c>
      <c r="H579" s="4">
        <v>80077.929999999993</v>
      </c>
      <c r="I579" s="8">
        <v>0.1</v>
      </c>
      <c r="J579" s="4">
        <v>24312.17</v>
      </c>
      <c r="K579" s="4" t="str">
        <f t="shared" ref="K579:K642" si="36">TEXT(A579,"mmmm")</f>
        <v>May</v>
      </c>
      <c r="L579">
        <f t="shared" ref="L579:L642" si="37">MONTH(A579)</f>
        <v>5</v>
      </c>
      <c r="M579" s="9">
        <f t="shared" ref="M579:M642" si="38">J579/G579</f>
        <v>0.23289727665746079</v>
      </c>
      <c r="N579" s="9">
        <f t="shared" ref="N579:N642" si="39">G579/SUM(G:G)</f>
        <v>9.6670542825441738E-4</v>
      </c>
    </row>
    <row r="580" spans="1:14" x14ac:dyDescent="0.35">
      <c r="A580" s="6">
        <v>45075</v>
      </c>
      <c r="B580" t="s">
        <v>10</v>
      </c>
      <c r="C580" t="s">
        <v>19</v>
      </c>
      <c r="D580" t="s">
        <v>25</v>
      </c>
      <c r="E580" t="s">
        <v>37</v>
      </c>
      <c r="F580" s="4">
        <v>5</v>
      </c>
      <c r="G580" s="4">
        <v>16929</v>
      </c>
      <c r="H580" s="4">
        <v>11297.08</v>
      </c>
      <c r="I580" s="8">
        <v>0.1</v>
      </c>
      <c r="J580" s="4">
        <v>5631.92</v>
      </c>
      <c r="K580" s="4" t="str">
        <f t="shared" si="36"/>
        <v>May</v>
      </c>
      <c r="L580">
        <f t="shared" si="37"/>
        <v>5</v>
      </c>
      <c r="M580" s="9">
        <f t="shared" si="38"/>
        <v>0.33267883513497548</v>
      </c>
      <c r="N580" s="9">
        <f t="shared" si="39"/>
        <v>1.5677115162183991E-4</v>
      </c>
    </row>
    <row r="581" spans="1:14" x14ac:dyDescent="0.35">
      <c r="A581" s="6">
        <v>44940</v>
      </c>
      <c r="B581" t="s">
        <v>11</v>
      </c>
      <c r="C581" t="s">
        <v>18</v>
      </c>
      <c r="D581" t="s">
        <v>26</v>
      </c>
      <c r="E581" t="s">
        <v>34</v>
      </c>
      <c r="F581" s="4">
        <v>1</v>
      </c>
      <c r="G581" s="4">
        <v>2309.4499999999998</v>
      </c>
      <c r="H581" s="4">
        <v>1812.88</v>
      </c>
      <c r="I581" s="8">
        <v>0.15</v>
      </c>
      <c r="J581" s="4">
        <v>496.57</v>
      </c>
      <c r="K581" s="4" t="str">
        <f t="shared" si="36"/>
        <v>January</v>
      </c>
      <c r="L581">
        <f t="shared" si="37"/>
        <v>1</v>
      </c>
      <c r="M581" s="9">
        <f t="shared" si="38"/>
        <v>0.21501656238498346</v>
      </c>
      <c r="N581" s="9">
        <f t="shared" si="39"/>
        <v>2.1386681795325073E-5</v>
      </c>
    </row>
    <row r="582" spans="1:14" x14ac:dyDescent="0.35">
      <c r="A582" s="6">
        <v>45001</v>
      </c>
      <c r="B582" t="s">
        <v>9</v>
      </c>
      <c r="C582" t="s">
        <v>15</v>
      </c>
      <c r="D582" t="s">
        <v>27</v>
      </c>
      <c r="E582" t="s">
        <v>41</v>
      </c>
      <c r="F582" s="4">
        <v>3</v>
      </c>
      <c r="G582" s="4">
        <v>134366.1</v>
      </c>
      <c r="H582" s="4">
        <v>77598.55</v>
      </c>
      <c r="I582" s="8">
        <v>0.05</v>
      </c>
      <c r="J582" s="4">
        <v>56767.55</v>
      </c>
      <c r="K582" s="4" t="str">
        <f t="shared" si="36"/>
        <v>March</v>
      </c>
      <c r="L582">
        <f t="shared" si="37"/>
        <v>3</v>
      </c>
      <c r="M582" s="9">
        <f t="shared" si="38"/>
        <v>0.42248416825374852</v>
      </c>
      <c r="N582" s="9">
        <f t="shared" si="39"/>
        <v>1.2442984367614924E-3</v>
      </c>
    </row>
    <row r="583" spans="1:14" x14ac:dyDescent="0.35">
      <c r="A583" s="6">
        <v>45265</v>
      </c>
      <c r="B583" t="s">
        <v>12</v>
      </c>
      <c r="C583" t="s">
        <v>23</v>
      </c>
      <c r="D583" t="s">
        <v>25</v>
      </c>
      <c r="E583" t="s">
        <v>33</v>
      </c>
      <c r="F583" s="4">
        <v>3</v>
      </c>
      <c r="G583" s="4">
        <v>98262</v>
      </c>
      <c r="H583" s="4">
        <v>69978.240000000005</v>
      </c>
      <c r="I583" s="8">
        <v>0</v>
      </c>
      <c r="J583" s="4">
        <v>28283.759999999998</v>
      </c>
      <c r="K583" s="4" t="str">
        <f t="shared" si="36"/>
        <v>December</v>
      </c>
      <c r="L583">
        <f t="shared" si="37"/>
        <v>12</v>
      </c>
      <c r="M583" s="9">
        <f t="shared" si="38"/>
        <v>0.28784026378457589</v>
      </c>
      <c r="N583" s="9">
        <f t="shared" si="39"/>
        <v>9.0995610494803199E-4</v>
      </c>
    </row>
    <row r="584" spans="1:14" x14ac:dyDescent="0.35">
      <c r="A584" s="6">
        <v>45168</v>
      </c>
      <c r="B584" t="s">
        <v>12</v>
      </c>
      <c r="C584" t="s">
        <v>21</v>
      </c>
      <c r="D584" t="s">
        <v>26</v>
      </c>
      <c r="E584" t="s">
        <v>43</v>
      </c>
      <c r="F584" s="4">
        <v>7</v>
      </c>
      <c r="G584" s="4">
        <v>104119.05</v>
      </c>
      <c r="H584" s="4">
        <v>58367.64</v>
      </c>
      <c r="I584" s="8">
        <v>0.15</v>
      </c>
      <c r="J584" s="4">
        <v>45751.41</v>
      </c>
      <c r="K584" s="4" t="str">
        <f t="shared" si="36"/>
        <v>August</v>
      </c>
      <c r="L584">
        <f t="shared" si="37"/>
        <v>8</v>
      </c>
      <c r="M584" s="9">
        <f t="shared" si="38"/>
        <v>0.43941440111103591</v>
      </c>
      <c r="N584" s="9">
        <f t="shared" si="39"/>
        <v>9.6419536737385144E-4</v>
      </c>
    </row>
    <row r="585" spans="1:14" x14ac:dyDescent="0.35">
      <c r="A585" s="6">
        <v>44985</v>
      </c>
      <c r="B585" t="s">
        <v>9</v>
      </c>
      <c r="C585" t="s">
        <v>13</v>
      </c>
      <c r="D585" t="s">
        <v>27</v>
      </c>
      <c r="E585" t="s">
        <v>41</v>
      </c>
      <c r="F585" s="4">
        <v>6</v>
      </c>
      <c r="G585" s="4">
        <v>256129.5</v>
      </c>
      <c r="H585" s="4">
        <v>190759.01</v>
      </c>
      <c r="I585" s="8">
        <v>0.05</v>
      </c>
      <c r="J585" s="4">
        <v>65370.49</v>
      </c>
      <c r="K585" s="4" t="str">
        <f t="shared" si="36"/>
        <v>February</v>
      </c>
      <c r="L585">
        <f t="shared" si="37"/>
        <v>2</v>
      </c>
      <c r="M585" s="9">
        <f t="shared" si="38"/>
        <v>0.25522436892275197</v>
      </c>
      <c r="N585" s="9">
        <f t="shared" si="39"/>
        <v>2.3718894606489485E-3</v>
      </c>
    </row>
    <row r="586" spans="1:14" x14ac:dyDescent="0.35">
      <c r="A586" s="6">
        <v>45016</v>
      </c>
      <c r="B586" t="s">
        <v>9</v>
      </c>
      <c r="C586" t="s">
        <v>15</v>
      </c>
      <c r="D586" t="s">
        <v>26</v>
      </c>
      <c r="E586" t="s">
        <v>30</v>
      </c>
      <c r="F586" s="4">
        <v>6</v>
      </c>
      <c r="G586" s="4">
        <v>27685.8</v>
      </c>
      <c r="H586" s="4">
        <v>19650.22</v>
      </c>
      <c r="I586" s="8">
        <v>0.1</v>
      </c>
      <c r="J586" s="4">
        <v>8035.58</v>
      </c>
      <c r="K586" s="4" t="str">
        <f t="shared" si="36"/>
        <v>March</v>
      </c>
      <c r="L586">
        <f t="shared" si="37"/>
        <v>3</v>
      </c>
      <c r="M586" s="9">
        <f t="shared" si="38"/>
        <v>0.29024192907555496</v>
      </c>
      <c r="N586" s="9">
        <f t="shared" si="39"/>
        <v>2.5638459150404249E-4</v>
      </c>
    </row>
    <row r="587" spans="1:14" x14ac:dyDescent="0.35">
      <c r="A587" s="6">
        <v>44952</v>
      </c>
      <c r="B587" t="s">
        <v>10</v>
      </c>
      <c r="C587" t="s">
        <v>14</v>
      </c>
      <c r="D587" t="s">
        <v>27</v>
      </c>
      <c r="E587" t="s">
        <v>41</v>
      </c>
      <c r="F587" s="4">
        <v>5</v>
      </c>
      <c r="G587" s="4">
        <v>123595</v>
      </c>
      <c r="H587" s="4">
        <v>96444.5</v>
      </c>
      <c r="I587" s="8">
        <v>0.05</v>
      </c>
      <c r="J587" s="4">
        <v>27150.5</v>
      </c>
      <c r="K587" s="4" t="str">
        <f t="shared" si="36"/>
        <v>January</v>
      </c>
      <c r="L587">
        <f t="shared" si="37"/>
        <v>1</v>
      </c>
      <c r="M587" s="9">
        <f t="shared" si="38"/>
        <v>0.21967312593551519</v>
      </c>
      <c r="N587" s="9">
        <f t="shared" si="39"/>
        <v>1.1445525716050153E-3</v>
      </c>
    </row>
    <row r="588" spans="1:14" x14ac:dyDescent="0.35">
      <c r="A588" s="6">
        <v>45054</v>
      </c>
      <c r="B588" t="s">
        <v>9</v>
      </c>
      <c r="C588" t="s">
        <v>15</v>
      </c>
      <c r="D588" t="s">
        <v>28</v>
      </c>
      <c r="E588" t="s">
        <v>44</v>
      </c>
      <c r="F588" s="4">
        <v>5</v>
      </c>
      <c r="G588" s="4">
        <v>217792.25</v>
      </c>
      <c r="H588" s="4">
        <v>124390.16</v>
      </c>
      <c r="I588" s="8">
        <v>0.05</v>
      </c>
      <c r="J588" s="4">
        <v>93402.09</v>
      </c>
      <c r="K588" s="4" t="str">
        <f t="shared" si="36"/>
        <v>May</v>
      </c>
      <c r="L588">
        <f t="shared" si="37"/>
        <v>5</v>
      </c>
      <c r="M588" s="9">
        <f t="shared" si="38"/>
        <v>0.42885864855154393</v>
      </c>
      <c r="N588" s="9">
        <f t="shared" si="39"/>
        <v>2.0168670238532495E-3</v>
      </c>
    </row>
    <row r="589" spans="1:14" x14ac:dyDescent="0.35">
      <c r="A589" s="6">
        <v>45081</v>
      </c>
      <c r="B589" t="s">
        <v>11</v>
      </c>
      <c r="C589" t="s">
        <v>17</v>
      </c>
      <c r="D589" t="s">
        <v>26</v>
      </c>
      <c r="E589" t="s">
        <v>34</v>
      </c>
      <c r="F589" s="4">
        <v>6</v>
      </c>
      <c r="G589" s="4">
        <v>109200</v>
      </c>
      <c r="H589" s="4">
        <v>86709.9</v>
      </c>
      <c r="I589" s="8">
        <v>0.2</v>
      </c>
      <c r="J589" s="4">
        <v>22490.1</v>
      </c>
      <c r="K589" s="4" t="str">
        <f t="shared" si="36"/>
        <v>June</v>
      </c>
      <c r="L589">
        <f t="shared" si="37"/>
        <v>6</v>
      </c>
      <c r="M589" s="9">
        <f t="shared" si="38"/>
        <v>0.20595329670329668</v>
      </c>
      <c r="N589" s="9">
        <f t="shared" si="39"/>
        <v>1.011247549004957E-3</v>
      </c>
    </row>
    <row r="590" spans="1:14" x14ac:dyDescent="0.35">
      <c r="A590" s="6">
        <v>45219</v>
      </c>
      <c r="B590" t="s">
        <v>12</v>
      </c>
      <c r="C590" t="s">
        <v>21</v>
      </c>
      <c r="D590" t="s">
        <v>26</v>
      </c>
      <c r="E590" t="s">
        <v>30</v>
      </c>
      <c r="F590" s="4">
        <v>7</v>
      </c>
      <c r="G590" s="4">
        <v>190688.4</v>
      </c>
      <c r="H590" s="4">
        <v>114439.4</v>
      </c>
      <c r="I590" s="8">
        <v>0.1</v>
      </c>
      <c r="J590" s="4">
        <v>76249</v>
      </c>
      <c r="K590" s="4" t="str">
        <f t="shared" si="36"/>
        <v>October</v>
      </c>
      <c r="L590">
        <f t="shared" si="37"/>
        <v>10</v>
      </c>
      <c r="M590" s="9">
        <f t="shared" si="38"/>
        <v>0.39986176400871792</v>
      </c>
      <c r="N590" s="9">
        <f t="shared" si="39"/>
        <v>1.7658715853816561E-3</v>
      </c>
    </row>
    <row r="591" spans="1:14" x14ac:dyDescent="0.35">
      <c r="A591" s="6">
        <v>45202</v>
      </c>
      <c r="B591" t="s">
        <v>10</v>
      </c>
      <c r="C591" t="s">
        <v>14</v>
      </c>
      <c r="D591" t="s">
        <v>25</v>
      </c>
      <c r="E591" t="s">
        <v>29</v>
      </c>
      <c r="F591" s="4">
        <v>7</v>
      </c>
      <c r="G591" s="4">
        <v>87696</v>
      </c>
      <c r="H591" s="4">
        <v>49600.73</v>
      </c>
      <c r="I591" s="8">
        <v>0.2</v>
      </c>
      <c r="J591" s="4">
        <v>38095.269999999997</v>
      </c>
      <c r="K591" s="4" t="str">
        <f t="shared" si="36"/>
        <v>October</v>
      </c>
      <c r="L591">
        <f t="shared" si="37"/>
        <v>10</v>
      </c>
      <c r="M591" s="9">
        <f t="shared" si="38"/>
        <v>0.434401455026455</v>
      </c>
      <c r="N591" s="9">
        <f t="shared" si="39"/>
        <v>8.1210957012398089E-4</v>
      </c>
    </row>
    <row r="592" spans="1:14" x14ac:dyDescent="0.35">
      <c r="A592" s="6">
        <v>45276</v>
      </c>
      <c r="B592" t="s">
        <v>11</v>
      </c>
      <c r="C592" t="s">
        <v>17</v>
      </c>
      <c r="D592" t="s">
        <v>27</v>
      </c>
      <c r="E592" t="s">
        <v>40</v>
      </c>
      <c r="F592" s="4">
        <v>4</v>
      </c>
      <c r="G592" s="4">
        <v>54928</v>
      </c>
      <c r="H592" s="4">
        <v>41917.58</v>
      </c>
      <c r="I592" s="8">
        <v>0</v>
      </c>
      <c r="J592" s="4">
        <v>13010.42</v>
      </c>
      <c r="K592" s="4" t="str">
        <f t="shared" si="36"/>
        <v>December</v>
      </c>
      <c r="L592">
        <f t="shared" si="37"/>
        <v>12</v>
      </c>
      <c r="M592" s="9">
        <f t="shared" si="38"/>
        <v>0.23686316632682786</v>
      </c>
      <c r="N592" s="9">
        <f t="shared" si="39"/>
        <v>5.0866122135296958E-4</v>
      </c>
    </row>
    <row r="593" spans="1:14" x14ac:dyDescent="0.35">
      <c r="A593" s="6">
        <v>45177</v>
      </c>
      <c r="B593" t="s">
        <v>12</v>
      </c>
      <c r="C593" t="s">
        <v>21</v>
      </c>
      <c r="D593" t="s">
        <v>28</v>
      </c>
      <c r="E593" t="s">
        <v>42</v>
      </c>
      <c r="F593" s="4">
        <v>2</v>
      </c>
      <c r="G593" s="4">
        <v>39013.300000000003</v>
      </c>
      <c r="H593" s="4">
        <v>23097.03</v>
      </c>
      <c r="I593" s="8">
        <v>0.15</v>
      </c>
      <c r="J593" s="4">
        <v>15916.27</v>
      </c>
      <c r="K593" s="4" t="str">
        <f t="shared" si="36"/>
        <v>September</v>
      </c>
      <c r="L593">
        <f t="shared" si="37"/>
        <v>9</v>
      </c>
      <c r="M593" s="9">
        <f t="shared" si="38"/>
        <v>0.40797035882634897</v>
      </c>
      <c r="N593" s="9">
        <f t="shared" si="39"/>
        <v>3.6128300369592578E-4</v>
      </c>
    </row>
    <row r="594" spans="1:14" x14ac:dyDescent="0.35">
      <c r="A594" s="6">
        <v>45010</v>
      </c>
      <c r="B594" t="s">
        <v>11</v>
      </c>
      <c r="C594" t="s">
        <v>18</v>
      </c>
      <c r="D594" t="s">
        <v>28</v>
      </c>
      <c r="E594" t="s">
        <v>44</v>
      </c>
      <c r="F594" s="4">
        <v>2</v>
      </c>
      <c r="G594" s="4">
        <v>54649.9</v>
      </c>
      <c r="H594" s="4">
        <v>36047.85</v>
      </c>
      <c r="I594" s="8">
        <v>0.15</v>
      </c>
      <c r="J594" s="4">
        <v>18602.05</v>
      </c>
      <c r="K594" s="4" t="str">
        <f t="shared" si="36"/>
        <v>March</v>
      </c>
      <c r="L594">
        <f t="shared" si="37"/>
        <v>3</v>
      </c>
      <c r="M594" s="9">
        <f t="shared" si="38"/>
        <v>0.34038580125489704</v>
      </c>
      <c r="N594" s="9">
        <f t="shared" si="39"/>
        <v>5.0608587388613563E-4</v>
      </c>
    </row>
    <row r="595" spans="1:14" x14ac:dyDescent="0.35">
      <c r="A595" s="6">
        <v>45019</v>
      </c>
      <c r="B595" t="s">
        <v>9</v>
      </c>
      <c r="C595" t="s">
        <v>13</v>
      </c>
      <c r="D595" t="s">
        <v>28</v>
      </c>
      <c r="E595" t="s">
        <v>39</v>
      </c>
      <c r="F595" s="4">
        <v>4</v>
      </c>
      <c r="G595" s="4">
        <v>38862</v>
      </c>
      <c r="H595" s="4">
        <v>24543.82</v>
      </c>
      <c r="I595" s="8">
        <v>0.1</v>
      </c>
      <c r="J595" s="4">
        <v>14318.18</v>
      </c>
      <c r="K595" s="4" t="str">
        <f t="shared" si="36"/>
        <v>April</v>
      </c>
      <c r="L595">
        <f t="shared" si="37"/>
        <v>4</v>
      </c>
      <c r="M595" s="9">
        <f t="shared" si="38"/>
        <v>0.36843651896454122</v>
      </c>
      <c r="N595" s="9">
        <f t="shared" si="39"/>
        <v>3.5988188873104985E-4</v>
      </c>
    </row>
    <row r="596" spans="1:14" x14ac:dyDescent="0.35">
      <c r="A596" s="6">
        <v>45012</v>
      </c>
      <c r="B596" t="s">
        <v>10</v>
      </c>
      <c r="C596" t="s">
        <v>19</v>
      </c>
      <c r="D596" t="s">
        <v>25</v>
      </c>
      <c r="E596" t="s">
        <v>37</v>
      </c>
      <c r="F596" s="4">
        <v>1</v>
      </c>
      <c r="G596" s="4">
        <v>15232</v>
      </c>
      <c r="H596" s="4">
        <v>9179.2099999999991</v>
      </c>
      <c r="I596" s="8">
        <v>0.15</v>
      </c>
      <c r="J596" s="4">
        <v>6052.79</v>
      </c>
      <c r="K596" s="4" t="str">
        <f t="shared" si="36"/>
        <v>March</v>
      </c>
      <c r="L596">
        <f t="shared" si="37"/>
        <v>3</v>
      </c>
      <c r="M596" s="9">
        <f t="shared" si="38"/>
        <v>0.39737329306722691</v>
      </c>
      <c r="N596" s="9">
        <f t="shared" si="39"/>
        <v>1.4105606837402478E-4</v>
      </c>
    </row>
    <row r="597" spans="1:14" x14ac:dyDescent="0.35">
      <c r="A597" s="6">
        <v>44937</v>
      </c>
      <c r="B597" t="s">
        <v>11</v>
      </c>
      <c r="C597" t="s">
        <v>17</v>
      </c>
      <c r="D597" t="s">
        <v>28</v>
      </c>
      <c r="E597" t="s">
        <v>44</v>
      </c>
      <c r="F597" s="4">
        <v>6</v>
      </c>
      <c r="G597" s="4">
        <v>110089.8</v>
      </c>
      <c r="H597" s="4">
        <v>83374.149999999994</v>
      </c>
      <c r="I597" s="8">
        <v>0.05</v>
      </c>
      <c r="J597" s="4">
        <v>26715.65</v>
      </c>
      <c r="K597" s="4" t="str">
        <f t="shared" si="36"/>
        <v>January</v>
      </c>
      <c r="L597">
        <f t="shared" si="37"/>
        <v>1</v>
      </c>
      <c r="M597" s="9">
        <f t="shared" si="38"/>
        <v>0.24267143731753532</v>
      </c>
      <c r="N597" s="9">
        <f t="shared" si="39"/>
        <v>1.0194875496377833E-3</v>
      </c>
    </row>
    <row r="598" spans="1:14" x14ac:dyDescent="0.35">
      <c r="A598" s="6">
        <v>45164</v>
      </c>
      <c r="B598" t="s">
        <v>11</v>
      </c>
      <c r="C598" t="s">
        <v>18</v>
      </c>
      <c r="D598" t="s">
        <v>26</v>
      </c>
      <c r="E598" t="s">
        <v>34</v>
      </c>
      <c r="F598" s="4">
        <v>5</v>
      </c>
      <c r="G598" s="4">
        <v>227026.25</v>
      </c>
      <c r="H598" s="4">
        <v>153555.38</v>
      </c>
      <c r="I598" s="8">
        <v>0.05</v>
      </c>
      <c r="J598" s="4">
        <v>73470.87</v>
      </c>
      <c r="K598" s="4" t="str">
        <f t="shared" si="36"/>
        <v>August</v>
      </c>
      <c r="L598">
        <f t="shared" si="37"/>
        <v>8</v>
      </c>
      <c r="M598" s="9">
        <f t="shared" si="38"/>
        <v>0.32362279692326323</v>
      </c>
      <c r="N598" s="9">
        <f t="shared" si="39"/>
        <v>2.1023785611015262E-3</v>
      </c>
    </row>
    <row r="599" spans="1:14" x14ac:dyDescent="0.35">
      <c r="A599" s="6">
        <v>45149</v>
      </c>
      <c r="B599" t="s">
        <v>11</v>
      </c>
      <c r="C599" t="s">
        <v>17</v>
      </c>
      <c r="D599" t="s">
        <v>26</v>
      </c>
      <c r="E599" t="s">
        <v>30</v>
      </c>
      <c r="F599" s="4">
        <v>4</v>
      </c>
      <c r="G599" s="4">
        <v>188100</v>
      </c>
      <c r="H599" s="4">
        <v>124228.13</v>
      </c>
      <c r="I599" s="8">
        <v>0</v>
      </c>
      <c r="J599" s="4">
        <v>63871.87</v>
      </c>
      <c r="K599" s="4" t="str">
        <f t="shared" si="36"/>
        <v>August</v>
      </c>
      <c r="L599">
        <f t="shared" si="37"/>
        <v>8</v>
      </c>
      <c r="M599" s="9">
        <f t="shared" si="38"/>
        <v>0.33956337054758107</v>
      </c>
      <c r="N599" s="9">
        <f t="shared" si="39"/>
        <v>1.7419016846871101E-3</v>
      </c>
    </row>
    <row r="600" spans="1:14" x14ac:dyDescent="0.35">
      <c r="A600" s="6">
        <v>45015</v>
      </c>
      <c r="B600" t="s">
        <v>9</v>
      </c>
      <c r="C600" t="s">
        <v>20</v>
      </c>
      <c r="D600" t="s">
        <v>27</v>
      </c>
      <c r="E600" t="s">
        <v>40</v>
      </c>
      <c r="F600" s="4">
        <v>2</v>
      </c>
      <c r="G600" s="4">
        <v>83370</v>
      </c>
      <c r="H600" s="4">
        <v>49828.71</v>
      </c>
      <c r="I600" s="8">
        <v>0</v>
      </c>
      <c r="J600" s="4">
        <v>33541.29</v>
      </c>
      <c r="K600" s="4" t="str">
        <f t="shared" si="36"/>
        <v>March</v>
      </c>
      <c r="L600">
        <f t="shared" si="37"/>
        <v>3</v>
      </c>
      <c r="M600" s="9">
        <f t="shared" si="38"/>
        <v>0.40231845987765386</v>
      </c>
      <c r="N600" s="9">
        <f t="shared" si="39"/>
        <v>7.7204860952878455E-4</v>
      </c>
    </row>
    <row r="601" spans="1:14" x14ac:dyDescent="0.35">
      <c r="A601" s="6">
        <v>45245</v>
      </c>
      <c r="B601" t="s">
        <v>11</v>
      </c>
      <c r="C601" t="s">
        <v>18</v>
      </c>
      <c r="D601" t="s">
        <v>25</v>
      </c>
      <c r="E601" t="s">
        <v>37</v>
      </c>
      <c r="F601" s="4">
        <v>1</v>
      </c>
      <c r="G601" s="4">
        <v>21281.9</v>
      </c>
      <c r="H601" s="4">
        <v>13375.01</v>
      </c>
      <c r="I601" s="8">
        <v>0.05</v>
      </c>
      <c r="J601" s="4">
        <v>7906.89</v>
      </c>
      <c r="K601" s="4" t="str">
        <f t="shared" si="36"/>
        <v>November</v>
      </c>
      <c r="L601">
        <f t="shared" si="37"/>
        <v>11</v>
      </c>
      <c r="M601" s="9">
        <f t="shared" si="38"/>
        <v>0.37153120727002759</v>
      </c>
      <c r="N601" s="9">
        <f t="shared" si="39"/>
        <v>1.9708121990081134E-4</v>
      </c>
    </row>
    <row r="602" spans="1:14" x14ac:dyDescent="0.35">
      <c r="A602" s="6">
        <v>45008</v>
      </c>
      <c r="B602" t="s">
        <v>9</v>
      </c>
      <c r="C602" t="s">
        <v>15</v>
      </c>
      <c r="D602" t="s">
        <v>27</v>
      </c>
      <c r="E602" t="s">
        <v>38</v>
      </c>
      <c r="F602" s="4">
        <v>1</v>
      </c>
      <c r="G602" s="4">
        <v>17866.150000000001</v>
      </c>
      <c r="H602" s="4">
        <v>9897.06</v>
      </c>
      <c r="I602" s="8">
        <v>0.15</v>
      </c>
      <c r="J602" s="4">
        <v>7969.09</v>
      </c>
      <c r="K602" s="4" t="str">
        <f t="shared" si="36"/>
        <v>March</v>
      </c>
      <c r="L602">
        <f t="shared" si="37"/>
        <v>3</v>
      </c>
      <c r="M602" s="9">
        <f t="shared" si="38"/>
        <v>0.44604405537846709</v>
      </c>
      <c r="N602" s="9">
        <f t="shared" si="39"/>
        <v>1.6544963734116224E-4</v>
      </c>
    </row>
    <row r="603" spans="1:14" x14ac:dyDescent="0.35">
      <c r="A603" s="6">
        <v>45153</v>
      </c>
      <c r="B603" t="s">
        <v>12</v>
      </c>
      <c r="C603" t="s">
        <v>23</v>
      </c>
      <c r="D603" t="s">
        <v>25</v>
      </c>
      <c r="E603" t="s">
        <v>37</v>
      </c>
      <c r="F603" s="4">
        <v>4</v>
      </c>
      <c r="G603" s="4">
        <v>61601.2</v>
      </c>
      <c r="H603" s="4">
        <v>39446.39</v>
      </c>
      <c r="I603" s="8">
        <v>0.15</v>
      </c>
      <c r="J603" s="4">
        <v>22154.81</v>
      </c>
      <c r="K603" s="4" t="str">
        <f t="shared" si="36"/>
        <v>August</v>
      </c>
      <c r="L603">
        <f t="shared" si="37"/>
        <v>8</v>
      </c>
      <c r="M603" s="9">
        <f t="shared" si="38"/>
        <v>0.35964900034414921</v>
      </c>
      <c r="N603" s="9">
        <f t="shared" si="39"/>
        <v>5.7045844794655824E-4</v>
      </c>
    </row>
    <row r="604" spans="1:14" x14ac:dyDescent="0.35">
      <c r="A604" s="6">
        <v>45244</v>
      </c>
      <c r="B604" t="s">
        <v>11</v>
      </c>
      <c r="C604" t="s">
        <v>18</v>
      </c>
      <c r="D604" t="s">
        <v>26</v>
      </c>
      <c r="E604" t="s">
        <v>35</v>
      </c>
      <c r="F604" s="4">
        <v>7</v>
      </c>
      <c r="G604" s="4">
        <v>285005.7</v>
      </c>
      <c r="H604" s="4">
        <v>211078.57</v>
      </c>
      <c r="I604" s="8">
        <v>0.1</v>
      </c>
      <c r="J604" s="4">
        <v>73927.13</v>
      </c>
      <c r="K604" s="4" t="str">
        <f t="shared" si="36"/>
        <v>November</v>
      </c>
      <c r="L604">
        <f t="shared" si="37"/>
        <v>11</v>
      </c>
      <c r="M604" s="9">
        <f t="shared" si="38"/>
        <v>0.2593882508314746</v>
      </c>
      <c r="N604" s="9">
        <f t="shared" si="39"/>
        <v>2.6392977616981877E-3</v>
      </c>
    </row>
    <row r="605" spans="1:14" x14ac:dyDescent="0.35">
      <c r="A605" s="6">
        <v>45114</v>
      </c>
      <c r="B605" t="s">
        <v>11</v>
      </c>
      <c r="C605" t="s">
        <v>16</v>
      </c>
      <c r="D605" t="s">
        <v>27</v>
      </c>
      <c r="E605" t="s">
        <v>38</v>
      </c>
      <c r="F605" s="4">
        <v>1</v>
      </c>
      <c r="G605" s="4">
        <v>1576.8</v>
      </c>
      <c r="H605" s="4">
        <v>1157.47</v>
      </c>
      <c r="I605" s="8">
        <v>0.1</v>
      </c>
      <c r="J605" s="4">
        <v>419.33</v>
      </c>
      <c r="K605" s="4" t="str">
        <f t="shared" si="36"/>
        <v>July</v>
      </c>
      <c r="L605">
        <f t="shared" si="37"/>
        <v>7</v>
      </c>
      <c r="M605" s="9">
        <f t="shared" si="38"/>
        <v>0.26593734145104009</v>
      </c>
      <c r="N605" s="9">
        <f t="shared" si="39"/>
        <v>1.4601970103214435E-5</v>
      </c>
    </row>
    <row r="606" spans="1:14" x14ac:dyDescent="0.35">
      <c r="A606" s="6">
        <v>45113</v>
      </c>
      <c r="B606" t="s">
        <v>10</v>
      </c>
      <c r="C606" t="s">
        <v>19</v>
      </c>
      <c r="D606" t="s">
        <v>25</v>
      </c>
      <c r="E606" t="s">
        <v>32</v>
      </c>
      <c r="F606" s="4">
        <v>4</v>
      </c>
      <c r="G606" s="4">
        <v>92092</v>
      </c>
      <c r="H606" s="4">
        <v>67724.52</v>
      </c>
      <c r="I606" s="8">
        <v>0</v>
      </c>
      <c r="J606" s="4">
        <v>24367.48</v>
      </c>
      <c r="K606" s="4" t="str">
        <f t="shared" si="36"/>
        <v>July</v>
      </c>
      <c r="L606">
        <f t="shared" si="37"/>
        <v>7</v>
      </c>
      <c r="M606" s="9">
        <f t="shared" si="38"/>
        <v>0.26459931372974849</v>
      </c>
      <c r="N606" s="9">
        <f t="shared" si="39"/>
        <v>8.5281876632751379E-4</v>
      </c>
    </row>
    <row r="607" spans="1:14" x14ac:dyDescent="0.35">
      <c r="A607" s="6">
        <v>45163</v>
      </c>
      <c r="B607" t="s">
        <v>10</v>
      </c>
      <c r="C607" t="s">
        <v>22</v>
      </c>
      <c r="D607" t="s">
        <v>28</v>
      </c>
      <c r="E607" t="s">
        <v>44</v>
      </c>
      <c r="F607" s="4">
        <v>4</v>
      </c>
      <c r="G607" s="4">
        <v>60969.599999999999</v>
      </c>
      <c r="H607" s="4">
        <v>36866.94</v>
      </c>
      <c r="I607" s="8">
        <v>0.1</v>
      </c>
      <c r="J607" s="4">
        <v>24102.66</v>
      </c>
      <c r="K607" s="4" t="str">
        <f t="shared" si="36"/>
        <v>August</v>
      </c>
      <c r="L607">
        <f t="shared" si="37"/>
        <v>8</v>
      </c>
      <c r="M607" s="9">
        <f t="shared" si="38"/>
        <v>0.39532258699417416</v>
      </c>
      <c r="N607" s="9">
        <f t="shared" si="39"/>
        <v>5.6460951065762479E-4</v>
      </c>
    </row>
    <row r="608" spans="1:14" x14ac:dyDescent="0.35">
      <c r="A608" s="6">
        <v>44958</v>
      </c>
      <c r="B608" t="s">
        <v>10</v>
      </c>
      <c r="C608" t="s">
        <v>19</v>
      </c>
      <c r="D608" t="s">
        <v>26</v>
      </c>
      <c r="E608" t="s">
        <v>34</v>
      </c>
      <c r="F608" s="4">
        <v>5</v>
      </c>
      <c r="G608" s="4">
        <v>36775</v>
      </c>
      <c r="H608" s="4">
        <v>27449.26</v>
      </c>
      <c r="I608" s="8">
        <v>0</v>
      </c>
      <c r="J608" s="4">
        <v>9325.74</v>
      </c>
      <c r="K608" s="4" t="str">
        <f t="shared" si="36"/>
        <v>February</v>
      </c>
      <c r="L608">
        <f t="shared" si="37"/>
        <v>2</v>
      </c>
      <c r="M608" s="9">
        <f t="shared" si="38"/>
        <v>0.25358912304554726</v>
      </c>
      <c r="N608" s="9">
        <f t="shared" si="39"/>
        <v>3.4055520709393129E-4</v>
      </c>
    </row>
    <row r="609" spans="1:14" x14ac:dyDescent="0.35">
      <c r="A609" s="6">
        <v>45275</v>
      </c>
      <c r="B609" t="s">
        <v>9</v>
      </c>
      <c r="C609" t="s">
        <v>20</v>
      </c>
      <c r="D609" t="s">
        <v>25</v>
      </c>
      <c r="E609" t="s">
        <v>37</v>
      </c>
      <c r="F609" s="4">
        <v>3</v>
      </c>
      <c r="G609" s="4">
        <v>23229</v>
      </c>
      <c r="H609" s="4">
        <v>17012.13</v>
      </c>
      <c r="I609" s="8">
        <v>0</v>
      </c>
      <c r="J609" s="4">
        <v>6216.87</v>
      </c>
      <c r="K609" s="4" t="str">
        <f t="shared" si="36"/>
        <v>December</v>
      </c>
      <c r="L609">
        <f t="shared" si="37"/>
        <v>12</v>
      </c>
      <c r="M609" s="9">
        <f t="shared" si="38"/>
        <v>0.26763399199276766</v>
      </c>
      <c r="N609" s="9">
        <f t="shared" si="39"/>
        <v>2.151123563721259E-4</v>
      </c>
    </row>
    <row r="610" spans="1:14" x14ac:dyDescent="0.35">
      <c r="A610" s="6">
        <v>44939</v>
      </c>
      <c r="B610" t="s">
        <v>9</v>
      </c>
      <c r="C610" t="s">
        <v>13</v>
      </c>
      <c r="D610" t="s">
        <v>28</v>
      </c>
      <c r="E610" t="s">
        <v>44</v>
      </c>
      <c r="F610" s="4">
        <v>1</v>
      </c>
      <c r="G610" s="4">
        <v>21928</v>
      </c>
      <c r="H610" s="4">
        <v>16852.060000000001</v>
      </c>
      <c r="I610" s="8">
        <v>0.2</v>
      </c>
      <c r="J610" s="4">
        <v>5075.9399999999996</v>
      </c>
      <c r="K610" s="4" t="str">
        <f t="shared" si="36"/>
        <v>January</v>
      </c>
      <c r="L610">
        <f t="shared" si="37"/>
        <v>1</v>
      </c>
      <c r="M610" s="9">
        <f t="shared" si="38"/>
        <v>0.2314821233126596</v>
      </c>
      <c r="N610" s="9">
        <f t="shared" si="39"/>
        <v>2.0306443456575733E-4</v>
      </c>
    </row>
    <row r="611" spans="1:14" x14ac:dyDescent="0.35">
      <c r="A611" s="6">
        <v>45199</v>
      </c>
      <c r="B611" t="s">
        <v>12</v>
      </c>
      <c r="C611" t="s">
        <v>21</v>
      </c>
      <c r="D611" t="s">
        <v>28</v>
      </c>
      <c r="E611" t="s">
        <v>36</v>
      </c>
      <c r="F611" s="4">
        <v>1</v>
      </c>
      <c r="G611" s="4">
        <v>35474.75</v>
      </c>
      <c r="H611" s="4">
        <v>26164.99</v>
      </c>
      <c r="I611" s="8">
        <v>0.15</v>
      </c>
      <c r="J611" s="4">
        <v>9309.76</v>
      </c>
      <c r="K611" s="4" t="str">
        <f t="shared" si="36"/>
        <v>September</v>
      </c>
      <c r="L611">
        <f t="shared" si="37"/>
        <v>9</v>
      </c>
      <c r="M611" s="9">
        <f t="shared" si="38"/>
        <v>0.26243342095434075</v>
      </c>
      <c r="N611" s="9">
        <f t="shared" si="39"/>
        <v>3.2851423066908059E-4</v>
      </c>
    </row>
    <row r="612" spans="1:14" x14ac:dyDescent="0.35">
      <c r="A612" s="6">
        <v>45113</v>
      </c>
      <c r="B612" t="s">
        <v>11</v>
      </c>
      <c r="C612" t="s">
        <v>18</v>
      </c>
      <c r="D612" t="s">
        <v>26</v>
      </c>
      <c r="E612" t="s">
        <v>34</v>
      </c>
      <c r="F612" s="4">
        <v>3</v>
      </c>
      <c r="G612" s="4">
        <v>56937.599999999999</v>
      </c>
      <c r="H612" s="4">
        <v>34705.550000000003</v>
      </c>
      <c r="I612" s="8">
        <v>0.1</v>
      </c>
      <c r="J612" s="4">
        <v>22232.05</v>
      </c>
      <c r="K612" s="4" t="str">
        <f t="shared" si="36"/>
        <v>July</v>
      </c>
      <c r="L612">
        <f t="shared" si="37"/>
        <v>7</v>
      </c>
      <c r="M612" s="9">
        <f t="shared" si="38"/>
        <v>0.39046341960321473</v>
      </c>
      <c r="N612" s="9">
        <f t="shared" si="39"/>
        <v>5.2727113961744179E-4</v>
      </c>
    </row>
    <row r="613" spans="1:14" x14ac:dyDescent="0.35">
      <c r="A613" s="6">
        <v>44928</v>
      </c>
      <c r="B613" t="s">
        <v>12</v>
      </c>
      <c r="C613" t="s">
        <v>21</v>
      </c>
      <c r="D613" t="s">
        <v>27</v>
      </c>
      <c r="E613" t="s">
        <v>38</v>
      </c>
      <c r="F613" s="4">
        <v>4</v>
      </c>
      <c r="G613" s="4">
        <v>19494.400000000001</v>
      </c>
      <c r="H613" s="4">
        <v>11474.85</v>
      </c>
      <c r="I613" s="8">
        <v>0.2</v>
      </c>
      <c r="J613" s="4">
        <v>8019.55</v>
      </c>
      <c r="K613" s="4" t="str">
        <f t="shared" si="36"/>
        <v>January</v>
      </c>
      <c r="L613">
        <f t="shared" si="37"/>
        <v>1</v>
      </c>
      <c r="M613" s="9">
        <f t="shared" si="38"/>
        <v>0.41137711342744582</v>
      </c>
      <c r="N613" s="9">
        <f t="shared" si="39"/>
        <v>1.8052806061650401E-4</v>
      </c>
    </row>
    <row r="614" spans="1:14" x14ac:dyDescent="0.35">
      <c r="A614" s="6">
        <v>45147</v>
      </c>
      <c r="B614" t="s">
        <v>10</v>
      </c>
      <c r="C614" t="s">
        <v>19</v>
      </c>
      <c r="D614" t="s">
        <v>25</v>
      </c>
      <c r="E614" t="s">
        <v>33</v>
      </c>
      <c r="F614" s="4">
        <v>6</v>
      </c>
      <c r="G614" s="4">
        <v>6576</v>
      </c>
      <c r="H614" s="4">
        <v>4881.7700000000004</v>
      </c>
      <c r="I614" s="8">
        <v>0.2</v>
      </c>
      <c r="J614" s="4">
        <v>1694.23</v>
      </c>
      <c r="K614" s="4" t="str">
        <f t="shared" si="36"/>
        <v>August</v>
      </c>
      <c r="L614">
        <f t="shared" si="37"/>
        <v>8</v>
      </c>
      <c r="M614" s="9">
        <f t="shared" si="38"/>
        <v>0.25763838199513384</v>
      </c>
      <c r="N614" s="9">
        <f t="shared" si="39"/>
        <v>6.0897105148869941E-5</v>
      </c>
    </row>
    <row r="615" spans="1:14" x14ac:dyDescent="0.35">
      <c r="A615" s="6">
        <v>45263</v>
      </c>
      <c r="B615" t="s">
        <v>10</v>
      </c>
      <c r="C615" t="s">
        <v>19</v>
      </c>
      <c r="D615" t="s">
        <v>28</v>
      </c>
      <c r="E615" t="s">
        <v>39</v>
      </c>
      <c r="F615" s="4">
        <v>3</v>
      </c>
      <c r="G615" s="4">
        <v>74822.399999999994</v>
      </c>
      <c r="H615" s="4">
        <v>42002.54</v>
      </c>
      <c r="I615" s="8">
        <v>0.2</v>
      </c>
      <c r="J615" s="4">
        <v>32819.86</v>
      </c>
      <c r="K615" s="4" t="str">
        <f t="shared" si="36"/>
        <v>December</v>
      </c>
      <c r="L615">
        <f t="shared" si="37"/>
        <v>12</v>
      </c>
      <c r="M615" s="9">
        <f t="shared" si="38"/>
        <v>0.4386368253357284</v>
      </c>
      <c r="N615" s="9">
        <f t="shared" si="39"/>
        <v>6.9289348544568222E-4</v>
      </c>
    </row>
    <row r="616" spans="1:14" x14ac:dyDescent="0.35">
      <c r="A616" s="6">
        <v>44979</v>
      </c>
      <c r="B616" t="s">
        <v>11</v>
      </c>
      <c r="C616" t="s">
        <v>17</v>
      </c>
      <c r="D616" t="s">
        <v>26</v>
      </c>
      <c r="E616" t="s">
        <v>35</v>
      </c>
      <c r="F616" s="4">
        <v>1</v>
      </c>
      <c r="G616" s="4">
        <v>30801.85</v>
      </c>
      <c r="H616" s="4">
        <v>22897.73</v>
      </c>
      <c r="I616" s="8">
        <v>0.05</v>
      </c>
      <c r="J616" s="4">
        <v>7904.12</v>
      </c>
      <c r="K616" s="4" t="str">
        <f t="shared" si="36"/>
        <v>February</v>
      </c>
      <c r="L616">
        <f t="shared" si="37"/>
        <v>2</v>
      </c>
      <c r="M616" s="9">
        <f t="shared" si="38"/>
        <v>0.25661185935260383</v>
      </c>
      <c r="N616" s="9">
        <f t="shared" si="39"/>
        <v>2.8524079960914227E-4</v>
      </c>
    </row>
    <row r="617" spans="1:14" x14ac:dyDescent="0.35">
      <c r="A617" s="6">
        <v>45257</v>
      </c>
      <c r="B617" t="s">
        <v>9</v>
      </c>
      <c r="C617" t="s">
        <v>20</v>
      </c>
      <c r="D617" t="s">
        <v>27</v>
      </c>
      <c r="E617" t="s">
        <v>38</v>
      </c>
      <c r="F617" s="4">
        <v>4</v>
      </c>
      <c r="G617" s="4">
        <v>143856</v>
      </c>
      <c r="H617" s="4">
        <v>107748.41</v>
      </c>
      <c r="I617" s="8">
        <v>0</v>
      </c>
      <c r="J617" s="4">
        <v>36107.589999999997</v>
      </c>
      <c r="K617" s="4" t="str">
        <f t="shared" si="36"/>
        <v>November</v>
      </c>
      <c r="L617">
        <f t="shared" si="37"/>
        <v>11</v>
      </c>
      <c r="M617" s="9">
        <f t="shared" si="38"/>
        <v>0.25099815092870648</v>
      </c>
      <c r="N617" s="9">
        <f t="shared" si="39"/>
        <v>1.3321797381836732E-3</v>
      </c>
    </row>
    <row r="618" spans="1:14" x14ac:dyDescent="0.35">
      <c r="A618" s="6">
        <v>44998</v>
      </c>
      <c r="B618" t="s">
        <v>10</v>
      </c>
      <c r="C618" t="s">
        <v>14</v>
      </c>
      <c r="D618" t="s">
        <v>26</v>
      </c>
      <c r="E618" t="s">
        <v>35</v>
      </c>
      <c r="F618" s="4">
        <v>4</v>
      </c>
      <c r="G618" s="4">
        <v>58841.599999999999</v>
      </c>
      <c r="H618" s="4">
        <v>34004.46</v>
      </c>
      <c r="I618" s="8">
        <v>0.2</v>
      </c>
      <c r="J618" s="4">
        <v>24837.14</v>
      </c>
      <c r="K618" s="4" t="str">
        <f t="shared" si="36"/>
        <v>March</v>
      </c>
      <c r="L618">
        <f t="shared" si="37"/>
        <v>3</v>
      </c>
      <c r="M618" s="9">
        <f t="shared" si="38"/>
        <v>0.42210171035457905</v>
      </c>
      <c r="N618" s="9">
        <f t="shared" si="39"/>
        <v>5.449031481641949E-4</v>
      </c>
    </row>
    <row r="619" spans="1:14" x14ac:dyDescent="0.35">
      <c r="A619" s="6">
        <v>45065</v>
      </c>
      <c r="B619" t="s">
        <v>9</v>
      </c>
      <c r="C619" t="s">
        <v>20</v>
      </c>
      <c r="D619" t="s">
        <v>26</v>
      </c>
      <c r="E619" t="s">
        <v>43</v>
      </c>
      <c r="F619" s="4">
        <v>3</v>
      </c>
      <c r="G619" s="4">
        <v>104227.35</v>
      </c>
      <c r="H619" s="4">
        <v>67541.759999999995</v>
      </c>
      <c r="I619" s="8">
        <v>0.05</v>
      </c>
      <c r="J619" s="4">
        <v>36685.589999999997</v>
      </c>
      <c r="K619" s="4" t="str">
        <f t="shared" si="36"/>
        <v>May</v>
      </c>
      <c r="L619">
        <f t="shared" si="37"/>
        <v>5</v>
      </c>
      <c r="M619" s="9">
        <f t="shared" si="38"/>
        <v>0.3519766165022904</v>
      </c>
      <c r="N619" s="9">
        <f t="shared" si="39"/>
        <v>9.65198280465035E-4</v>
      </c>
    </row>
    <row r="620" spans="1:14" x14ac:dyDescent="0.35">
      <c r="A620" s="6">
        <v>45267</v>
      </c>
      <c r="B620" t="s">
        <v>9</v>
      </c>
      <c r="C620" t="s">
        <v>15</v>
      </c>
      <c r="D620" t="s">
        <v>25</v>
      </c>
      <c r="E620" t="s">
        <v>33</v>
      </c>
      <c r="F620" s="4">
        <v>1</v>
      </c>
      <c r="G620" s="4">
        <v>41726.85</v>
      </c>
      <c r="H620" s="4">
        <v>30016.14</v>
      </c>
      <c r="I620" s="8">
        <v>0.05</v>
      </c>
      <c r="J620" s="4">
        <v>11710.71</v>
      </c>
      <c r="K620" s="4" t="str">
        <f t="shared" si="36"/>
        <v>December</v>
      </c>
      <c r="L620">
        <f t="shared" si="37"/>
        <v>12</v>
      </c>
      <c r="M620" s="9">
        <f t="shared" si="38"/>
        <v>0.28065166673257147</v>
      </c>
      <c r="N620" s="9">
        <f t="shared" si="39"/>
        <v>3.8641185705309058E-4</v>
      </c>
    </row>
    <row r="621" spans="1:14" x14ac:dyDescent="0.35">
      <c r="A621" s="6">
        <v>45236</v>
      </c>
      <c r="B621" t="s">
        <v>11</v>
      </c>
      <c r="C621" t="s">
        <v>17</v>
      </c>
      <c r="D621" t="s">
        <v>26</v>
      </c>
      <c r="E621" t="s">
        <v>34</v>
      </c>
      <c r="F621" s="4">
        <v>6</v>
      </c>
      <c r="G621" s="4">
        <v>65918.399999999994</v>
      </c>
      <c r="H621" s="4">
        <v>48605.36</v>
      </c>
      <c r="I621" s="8">
        <v>0.2</v>
      </c>
      <c r="J621" s="4">
        <v>17313.04</v>
      </c>
      <c r="K621" s="4" t="str">
        <f t="shared" si="36"/>
        <v>November</v>
      </c>
      <c r="L621">
        <f t="shared" si="37"/>
        <v>11</v>
      </c>
      <c r="M621" s="9">
        <f t="shared" si="38"/>
        <v>0.26264351076482445</v>
      </c>
      <c r="N621" s="9">
        <f t="shared" si="39"/>
        <v>6.1043791606527802E-4</v>
      </c>
    </row>
    <row r="622" spans="1:14" x14ac:dyDescent="0.35">
      <c r="A622" s="6">
        <v>44989</v>
      </c>
      <c r="B622" t="s">
        <v>11</v>
      </c>
      <c r="C622" t="s">
        <v>16</v>
      </c>
      <c r="D622" t="s">
        <v>27</v>
      </c>
      <c r="E622" t="s">
        <v>40</v>
      </c>
      <c r="F622" s="4">
        <v>3</v>
      </c>
      <c r="G622" s="4">
        <v>81786</v>
      </c>
      <c r="H622" s="4">
        <v>51774.74</v>
      </c>
      <c r="I622" s="8">
        <v>0</v>
      </c>
      <c r="J622" s="4">
        <v>30011.26</v>
      </c>
      <c r="K622" s="4" t="str">
        <f t="shared" si="36"/>
        <v>March</v>
      </c>
      <c r="L622">
        <f t="shared" si="37"/>
        <v>3</v>
      </c>
      <c r="M622" s="9">
        <f t="shared" si="38"/>
        <v>0.36694862201354755</v>
      </c>
      <c r="N622" s="9">
        <f t="shared" si="39"/>
        <v>7.5737996376299831E-4</v>
      </c>
    </row>
    <row r="623" spans="1:14" x14ac:dyDescent="0.35">
      <c r="A623" s="6">
        <v>44954</v>
      </c>
      <c r="B623" t="s">
        <v>11</v>
      </c>
      <c r="C623" t="s">
        <v>17</v>
      </c>
      <c r="D623" t="s">
        <v>25</v>
      </c>
      <c r="E623" t="s">
        <v>37</v>
      </c>
      <c r="F623" s="4">
        <v>3</v>
      </c>
      <c r="G623" s="4">
        <v>26246.7</v>
      </c>
      <c r="H623" s="4">
        <v>15697.56</v>
      </c>
      <c r="I623" s="8">
        <v>0.1</v>
      </c>
      <c r="J623" s="4">
        <v>10549.14</v>
      </c>
      <c r="K623" s="4" t="str">
        <f t="shared" si="36"/>
        <v>January</v>
      </c>
      <c r="L623">
        <f t="shared" si="37"/>
        <v>1</v>
      </c>
      <c r="M623" s="9">
        <f t="shared" si="38"/>
        <v>0.40192252740344497</v>
      </c>
      <c r="N623" s="9">
        <f t="shared" si="39"/>
        <v>2.4305779344751291E-4</v>
      </c>
    </row>
    <row r="624" spans="1:14" x14ac:dyDescent="0.35">
      <c r="A624" s="6">
        <v>45090</v>
      </c>
      <c r="B624" t="s">
        <v>10</v>
      </c>
      <c r="C624" t="s">
        <v>19</v>
      </c>
      <c r="D624" t="s">
        <v>25</v>
      </c>
      <c r="E624" t="s">
        <v>33</v>
      </c>
      <c r="F624" s="4">
        <v>3</v>
      </c>
      <c r="G624" s="4">
        <v>93545.55</v>
      </c>
      <c r="H624" s="4">
        <v>72800.210000000006</v>
      </c>
      <c r="I624" s="8">
        <v>0.05</v>
      </c>
      <c r="J624" s="4">
        <v>20745.34</v>
      </c>
      <c r="K624" s="4" t="str">
        <f t="shared" si="36"/>
        <v>June</v>
      </c>
      <c r="L624">
        <f t="shared" si="37"/>
        <v>6</v>
      </c>
      <c r="M624" s="9">
        <f t="shared" si="38"/>
        <v>0.22176725670007819</v>
      </c>
      <c r="N624" s="9">
        <f t="shared" si="39"/>
        <v>8.6627937873462154E-4</v>
      </c>
    </row>
    <row r="625" spans="1:14" x14ac:dyDescent="0.35">
      <c r="A625" s="6">
        <v>45009</v>
      </c>
      <c r="B625" t="s">
        <v>10</v>
      </c>
      <c r="C625" t="s">
        <v>14</v>
      </c>
      <c r="D625" t="s">
        <v>26</v>
      </c>
      <c r="E625" t="s">
        <v>34</v>
      </c>
      <c r="F625" s="4">
        <v>1</v>
      </c>
      <c r="G625" s="4">
        <v>30977.4</v>
      </c>
      <c r="H625" s="4">
        <v>21859.9</v>
      </c>
      <c r="I625" s="8">
        <v>0.15</v>
      </c>
      <c r="J625" s="4">
        <v>9117.5</v>
      </c>
      <c r="K625" s="4" t="str">
        <f t="shared" si="36"/>
        <v>March</v>
      </c>
      <c r="L625">
        <f t="shared" si="37"/>
        <v>3</v>
      </c>
      <c r="M625" s="9">
        <f t="shared" si="38"/>
        <v>0.29432747745130322</v>
      </c>
      <c r="N625" s="9">
        <f t="shared" si="39"/>
        <v>2.8686648190976338E-4</v>
      </c>
    </row>
    <row r="626" spans="1:14" x14ac:dyDescent="0.35">
      <c r="A626" s="6">
        <v>45230</v>
      </c>
      <c r="B626" t="s">
        <v>10</v>
      </c>
      <c r="C626" t="s">
        <v>22</v>
      </c>
      <c r="D626" t="s">
        <v>28</v>
      </c>
      <c r="E626" t="s">
        <v>44</v>
      </c>
      <c r="F626" s="4">
        <v>3</v>
      </c>
      <c r="G626" s="4">
        <v>16173</v>
      </c>
      <c r="H626" s="4">
        <v>9254.9599999999991</v>
      </c>
      <c r="I626" s="8">
        <v>0</v>
      </c>
      <c r="J626" s="4">
        <v>6918.04</v>
      </c>
      <c r="K626" s="4" t="str">
        <f t="shared" si="36"/>
        <v>October</v>
      </c>
      <c r="L626">
        <f t="shared" si="37"/>
        <v>10</v>
      </c>
      <c r="M626" s="9">
        <f t="shared" si="38"/>
        <v>0.42775242688431336</v>
      </c>
      <c r="N626" s="9">
        <f t="shared" si="39"/>
        <v>1.497702070518056E-4</v>
      </c>
    </row>
    <row r="627" spans="1:14" x14ac:dyDescent="0.35">
      <c r="A627" s="6">
        <v>45110</v>
      </c>
      <c r="B627" t="s">
        <v>11</v>
      </c>
      <c r="C627" t="s">
        <v>16</v>
      </c>
      <c r="D627" t="s">
        <v>25</v>
      </c>
      <c r="E627" t="s">
        <v>37</v>
      </c>
      <c r="F627" s="4">
        <v>2</v>
      </c>
      <c r="G627" s="4">
        <v>82455.100000000006</v>
      </c>
      <c r="H627" s="4">
        <v>48749.2</v>
      </c>
      <c r="I627" s="8">
        <v>0.15</v>
      </c>
      <c r="J627" s="4">
        <v>33705.9</v>
      </c>
      <c r="K627" s="4" t="str">
        <f t="shared" si="36"/>
        <v>July</v>
      </c>
      <c r="L627">
        <f t="shared" si="37"/>
        <v>7</v>
      </c>
      <c r="M627" s="9">
        <f t="shared" si="38"/>
        <v>0.40877883842236562</v>
      </c>
      <c r="N627" s="9">
        <f t="shared" si="39"/>
        <v>7.635761701278264E-4</v>
      </c>
    </row>
    <row r="628" spans="1:14" x14ac:dyDescent="0.35">
      <c r="A628" s="6">
        <v>44993</v>
      </c>
      <c r="B628" t="s">
        <v>11</v>
      </c>
      <c r="C628" t="s">
        <v>17</v>
      </c>
      <c r="D628" t="s">
        <v>26</v>
      </c>
      <c r="E628" t="s">
        <v>35</v>
      </c>
      <c r="F628" s="4">
        <v>6</v>
      </c>
      <c r="G628" s="4">
        <v>68928</v>
      </c>
      <c r="H628" s="4">
        <v>53647.23</v>
      </c>
      <c r="I628" s="8">
        <v>0</v>
      </c>
      <c r="J628" s="4">
        <v>15280.77</v>
      </c>
      <c r="K628" s="4" t="str">
        <f t="shared" si="36"/>
        <v>March</v>
      </c>
      <c r="L628">
        <f t="shared" si="37"/>
        <v>3</v>
      </c>
      <c r="M628" s="9">
        <f t="shared" si="38"/>
        <v>0.22169176532033427</v>
      </c>
      <c r="N628" s="9">
        <f t="shared" si="39"/>
        <v>6.3830834302027177E-4</v>
      </c>
    </row>
    <row r="629" spans="1:14" x14ac:dyDescent="0.35">
      <c r="A629" s="6">
        <v>44936</v>
      </c>
      <c r="B629" t="s">
        <v>10</v>
      </c>
      <c r="C629" t="s">
        <v>19</v>
      </c>
      <c r="D629" t="s">
        <v>28</v>
      </c>
      <c r="E629" t="s">
        <v>36</v>
      </c>
      <c r="F629" s="4">
        <v>1</v>
      </c>
      <c r="G629" s="4">
        <v>8497.4500000000007</v>
      </c>
      <c r="H629" s="4">
        <v>6275.09</v>
      </c>
      <c r="I629" s="8">
        <v>0.15</v>
      </c>
      <c r="J629" s="4">
        <v>2222.36</v>
      </c>
      <c r="K629" s="4" t="str">
        <f t="shared" si="36"/>
        <v>January</v>
      </c>
      <c r="L629">
        <f t="shared" si="37"/>
        <v>1</v>
      </c>
      <c r="M629" s="9">
        <f t="shared" si="38"/>
        <v>0.26153257742028491</v>
      </c>
      <c r="N629" s="9">
        <f t="shared" si="39"/>
        <v>7.869070957227265E-5</v>
      </c>
    </row>
    <row r="630" spans="1:14" x14ac:dyDescent="0.35">
      <c r="A630" s="6">
        <v>45031</v>
      </c>
      <c r="B630" t="s">
        <v>9</v>
      </c>
      <c r="C630" t="s">
        <v>15</v>
      </c>
      <c r="D630" t="s">
        <v>26</v>
      </c>
      <c r="E630" t="s">
        <v>43</v>
      </c>
      <c r="F630" s="4">
        <v>3</v>
      </c>
      <c r="G630" s="4">
        <v>60714</v>
      </c>
      <c r="H630" s="4">
        <v>33497.1</v>
      </c>
      <c r="I630" s="8">
        <v>0</v>
      </c>
      <c r="J630" s="4">
        <v>27216.9</v>
      </c>
      <c r="K630" s="4" t="str">
        <f t="shared" si="36"/>
        <v>April</v>
      </c>
      <c r="L630">
        <f t="shared" si="37"/>
        <v>4</v>
      </c>
      <c r="M630" s="9">
        <f t="shared" si="38"/>
        <v>0.44828046249629411</v>
      </c>
      <c r="N630" s="9">
        <f t="shared" si="39"/>
        <v>5.6224252463632756E-4</v>
      </c>
    </row>
    <row r="631" spans="1:14" x14ac:dyDescent="0.35">
      <c r="A631" s="6">
        <v>45058</v>
      </c>
      <c r="B631" t="s">
        <v>12</v>
      </c>
      <c r="C631" t="s">
        <v>24</v>
      </c>
      <c r="D631" t="s">
        <v>25</v>
      </c>
      <c r="E631" t="s">
        <v>32</v>
      </c>
      <c r="F631" s="4">
        <v>7</v>
      </c>
      <c r="G631" s="4">
        <v>128225.3</v>
      </c>
      <c r="H631" s="4">
        <v>99232.37</v>
      </c>
      <c r="I631" s="8">
        <v>0.05</v>
      </c>
      <c r="J631" s="4">
        <v>28992.93</v>
      </c>
      <c r="K631" s="4" t="str">
        <f t="shared" si="36"/>
        <v>May</v>
      </c>
      <c r="L631">
        <f t="shared" si="37"/>
        <v>5</v>
      </c>
      <c r="M631" s="9">
        <f t="shared" si="38"/>
        <v>0.22610927796620481</v>
      </c>
      <c r="N631" s="9">
        <f t="shared" si="39"/>
        <v>1.1874315049947375E-3</v>
      </c>
    </row>
    <row r="632" spans="1:14" x14ac:dyDescent="0.35">
      <c r="A632" s="6">
        <v>45266</v>
      </c>
      <c r="B632" t="s">
        <v>9</v>
      </c>
      <c r="C632" t="s">
        <v>15</v>
      </c>
      <c r="D632" t="s">
        <v>26</v>
      </c>
      <c r="E632" t="s">
        <v>43</v>
      </c>
      <c r="F632" s="4">
        <v>6</v>
      </c>
      <c r="G632" s="4">
        <v>144055.79999999999</v>
      </c>
      <c r="H632" s="4">
        <v>91551.34</v>
      </c>
      <c r="I632" s="8">
        <v>0.1</v>
      </c>
      <c r="J632" s="4">
        <v>52504.46</v>
      </c>
      <c r="K632" s="4" t="str">
        <f t="shared" si="36"/>
        <v>December</v>
      </c>
      <c r="L632">
        <f t="shared" si="37"/>
        <v>12</v>
      </c>
      <c r="M632" s="9">
        <f t="shared" si="38"/>
        <v>0.36447307224006253</v>
      </c>
      <c r="N632" s="9">
        <f t="shared" si="39"/>
        <v>1.3340299878200393E-3</v>
      </c>
    </row>
    <row r="633" spans="1:14" x14ac:dyDescent="0.35">
      <c r="A633" s="6">
        <v>45069</v>
      </c>
      <c r="B633" t="s">
        <v>12</v>
      </c>
      <c r="C633" t="s">
        <v>24</v>
      </c>
      <c r="D633" t="s">
        <v>27</v>
      </c>
      <c r="E633" t="s">
        <v>41</v>
      </c>
      <c r="F633" s="4">
        <v>5</v>
      </c>
      <c r="G633" s="4">
        <v>121669</v>
      </c>
      <c r="H633" s="4">
        <v>75676.460000000006</v>
      </c>
      <c r="I633" s="8">
        <v>0.15</v>
      </c>
      <c r="J633" s="4">
        <v>45992.54</v>
      </c>
      <c r="K633" s="4" t="str">
        <f t="shared" si="36"/>
        <v>May</v>
      </c>
      <c r="L633">
        <f t="shared" si="37"/>
        <v>5</v>
      </c>
      <c r="M633" s="9">
        <f t="shared" si="38"/>
        <v>0.37801362713591796</v>
      </c>
      <c r="N633" s="9">
        <f t="shared" si="39"/>
        <v>1.1267168318670707E-3</v>
      </c>
    </row>
    <row r="634" spans="1:14" x14ac:dyDescent="0.35">
      <c r="A634" s="6">
        <v>44996</v>
      </c>
      <c r="B634" t="s">
        <v>10</v>
      </c>
      <c r="C634" t="s">
        <v>19</v>
      </c>
      <c r="D634" t="s">
        <v>28</v>
      </c>
      <c r="E634" t="s">
        <v>44</v>
      </c>
      <c r="F634" s="4">
        <v>7</v>
      </c>
      <c r="G634" s="4">
        <v>184807</v>
      </c>
      <c r="H634" s="4">
        <v>109239.67</v>
      </c>
      <c r="I634" s="8">
        <v>0</v>
      </c>
      <c r="J634" s="4">
        <v>75567.33</v>
      </c>
      <c r="K634" s="4" t="str">
        <f t="shared" si="36"/>
        <v>March</v>
      </c>
      <c r="L634">
        <f t="shared" si="37"/>
        <v>3</v>
      </c>
      <c r="M634" s="9">
        <f t="shared" si="38"/>
        <v>0.40889863479197219</v>
      </c>
      <c r="N634" s="9">
        <f t="shared" si="39"/>
        <v>1.7114068295692225E-3</v>
      </c>
    </row>
    <row r="635" spans="1:14" x14ac:dyDescent="0.35">
      <c r="A635" s="6">
        <v>45075</v>
      </c>
      <c r="B635" t="s">
        <v>12</v>
      </c>
      <c r="C635" t="s">
        <v>21</v>
      </c>
      <c r="D635" t="s">
        <v>26</v>
      </c>
      <c r="E635" t="s">
        <v>30</v>
      </c>
      <c r="F635" s="4">
        <v>7</v>
      </c>
      <c r="G635" s="4">
        <v>249483.5</v>
      </c>
      <c r="H635" s="4">
        <v>173479.42</v>
      </c>
      <c r="I635" s="8">
        <v>0.15</v>
      </c>
      <c r="J635" s="4">
        <v>76004.08</v>
      </c>
      <c r="K635" s="4" t="str">
        <f t="shared" si="36"/>
        <v>May</v>
      </c>
      <c r="L635">
        <f t="shared" si="37"/>
        <v>5</v>
      </c>
      <c r="M635" s="9">
        <f t="shared" si="38"/>
        <v>0.30464571805349855</v>
      </c>
      <c r="N635" s="9">
        <f t="shared" si="39"/>
        <v>2.3103441198917417E-3</v>
      </c>
    </row>
    <row r="636" spans="1:14" x14ac:dyDescent="0.35">
      <c r="A636" s="6">
        <v>45106</v>
      </c>
      <c r="B636" t="s">
        <v>11</v>
      </c>
      <c r="C636" t="s">
        <v>17</v>
      </c>
      <c r="D636" t="s">
        <v>28</v>
      </c>
      <c r="E636" t="s">
        <v>44</v>
      </c>
      <c r="F636" s="4">
        <v>7</v>
      </c>
      <c r="G636" s="4">
        <v>288915.90000000002</v>
      </c>
      <c r="H636" s="4">
        <v>199393.85</v>
      </c>
      <c r="I636" s="8">
        <v>0.05</v>
      </c>
      <c r="J636" s="4">
        <v>89522.05</v>
      </c>
      <c r="K636" s="4" t="str">
        <f t="shared" si="36"/>
        <v>June</v>
      </c>
      <c r="L636">
        <f t="shared" si="37"/>
        <v>6</v>
      </c>
      <c r="M636" s="9">
        <f t="shared" si="38"/>
        <v>0.30985504778380141</v>
      </c>
      <c r="N636" s="9">
        <f t="shared" si="39"/>
        <v>2.6755082027798654E-3</v>
      </c>
    </row>
    <row r="637" spans="1:14" x14ac:dyDescent="0.35">
      <c r="A637" s="6">
        <v>45163</v>
      </c>
      <c r="B637" t="s">
        <v>12</v>
      </c>
      <c r="C637" t="s">
        <v>21</v>
      </c>
      <c r="D637" t="s">
        <v>25</v>
      </c>
      <c r="E637" t="s">
        <v>33</v>
      </c>
      <c r="F637" s="4">
        <v>5</v>
      </c>
      <c r="G637" s="4">
        <v>139936</v>
      </c>
      <c r="H637" s="4">
        <v>81117.72</v>
      </c>
      <c r="I637" s="8">
        <v>0.2</v>
      </c>
      <c r="J637" s="4">
        <v>58818.28</v>
      </c>
      <c r="K637" s="4" t="str">
        <f t="shared" si="36"/>
        <v>August</v>
      </c>
      <c r="L637">
        <f t="shared" si="37"/>
        <v>8</v>
      </c>
      <c r="M637" s="9">
        <f t="shared" si="38"/>
        <v>0.42032271895723761</v>
      </c>
      <c r="N637" s="9">
        <f t="shared" si="39"/>
        <v>1.2958785441168285E-3</v>
      </c>
    </row>
    <row r="638" spans="1:14" x14ac:dyDescent="0.35">
      <c r="A638" s="6">
        <v>45233</v>
      </c>
      <c r="B638" t="s">
        <v>10</v>
      </c>
      <c r="C638" t="s">
        <v>14</v>
      </c>
      <c r="D638" t="s">
        <v>27</v>
      </c>
      <c r="E638" t="s">
        <v>38</v>
      </c>
      <c r="F638" s="4">
        <v>3</v>
      </c>
      <c r="G638" s="4">
        <v>92127</v>
      </c>
      <c r="H638" s="4">
        <v>66785.289999999994</v>
      </c>
      <c r="I638" s="8">
        <v>0</v>
      </c>
      <c r="J638" s="4">
        <v>25341.71</v>
      </c>
      <c r="K638" s="4" t="str">
        <f t="shared" si="36"/>
        <v>November</v>
      </c>
      <c r="L638">
        <f t="shared" si="37"/>
        <v>11</v>
      </c>
      <c r="M638" s="9">
        <f t="shared" si="38"/>
        <v>0.27507364833327907</v>
      </c>
      <c r="N638" s="9">
        <f t="shared" si="39"/>
        <v>8.5314288413168202E-4</v>
      </c>
    </row>
    <row r="639" spans="1:14" x14ac:dyDescent="0.35">
      <c r="A639" s="6">
        <v>45146</v>
      </c>
      <c r="B639" t="s">
        <v>10</v>
      </c>
      <c r="C639" t="s">
        <v>22</v>
      </c>
      <c r="D639" t="s">
        <v>26</v>
      </c>
      <c r="E639" t="s">
        <v>30</v>
      </c>
      <c r="F639" s="4">
        <v>4</v>
      </c>
      <c r="G639" s="4">
        <v>17122.8</v>
      </c>
      <c r="H639" s="4">
        <v>12797.12</v>
      </c>
      <c r="I639" s="8">
        <v>0.05</v>
      </c>
      <c r="J639" s="4">
        <v>4325.68</v>
      </c>
      <c r="K639" s="4" t="str">
        <f t="shared" si="36"/>
        <v>August</v>
      </c>
      <c r="L639">
        <f t="shared" si="37"/>
        <v>8</v>
      </c>
      <c r="M639" s="9">
        <f t="shared" si="38"/>
        <v>0.25262690681430611</v>
      </c>
      <c r="N639" s="9">
        <f t="shared" si="39"/>
        <v>1.5856583820606299E-4</v>
      </c>
    </row>
    <row r="640" spans="1:14" x14ac:dyDescent="0.35">
      <c r="A640" s="6">
        <v>45088</v>
      </c>
      <c r="B640" t="s">
        <v>10</v>
      </c>
      <c r="C640" t="s">
        <v>19</v>
      </c>
      <c r="D640" t="s">
        <v>27</v>
      </c>
      <c r="E640" t="s">
        <v>40</v>
      </c>
      <c r="F640" s="4">
        <v>7</v>
      </c>
      <c r="G640" s="4">
        <v>178735.2</v>
      </c>
      <c r="H640" s="4">
        <v>109031.63</v>
      </c>
      <c r="I640" s="8">
        <v>0.2</v>
      </c>
      <c r="J640" s="4">
        <v>69703.570000000007</v>
      </c>
      <c r="K640" s="4" t="str">
        <f t="shared" si="36"/>
        <v>June</v>
      </c>
      <c r="L640">
        <f t="shared" si="37"/>
        <v>6</v>
      </c>
      <c r="M640" s="9">
        <f t="shared" si="38"/>
        <v>0.38998233140422256</v>
      </c>
      <c r="N640" s="9">
        <f t="shared" si="39"/>
        <v>1.6551788729021136E-3</v>
      </c>
    </row>
    <row r="641" spans="1:14" x14ac:dyDescent="0.35">
      <c r="A641" s="6">
        <v>45247</v>
      </c>
      <c r="B641" t="s">
        <v>9</v>
      </c>
      <c r="C641" t="s">
        <v>15</v>
      </c>
      <c r="D641" t="s">
        <v>26</v>
      </c>
      <c r="E641" t="s">
        <v>43</v>
      </c>
      <c r="F641" s="4">
        <v>4</v>
      </c>
      <c r="G641" s="4">
        <v>68899.199999999997</v>
      </c>
      <c r="H641" s="4">
        <v>48470.080000000002</v>
      </c>
      <c r="I641" s="8">
        <v>0.2</v>
      </c>
      <c r="J641" s="4">
        <v>20429.12</v>
      </c>
      <c r="K641" s="4" t="str">
        <f t="shared" si="36"/>
        <v>November</v>
      </c>
      <c r="L641">
        <f t="shared" si="37"/>
        <v>11</v>
      </c>
      <c r="M641" s="9">
        <f t="shared" si="38"/>
        <v>0.29650736147879803</v>
      </c>
      <c r="N641" s="9">
        <f t="shared" si="39"/>
        <v>6.3804164036998479E-4</v>
      </c>
    </row>
    <row r="642" spans="1:14" x14ac:dyDescent="0.35">
      <c r="A642" s="6">
        <v>45025</v>
      </c>
      <c r="B642" t="s">
        <v>12</v>
      </c>
      <c r="C642" t="s">
        <v>21</v>
      </c>
      <c r="D642" t="s">
        <v>28</v>
      </c>
      <c r="E642" t="s">
        <v>36</v>
      </c>
      <c r="F642" s="4">
        <v>2</v>
      </c>
      <c r="G642" s="4">
        <v>42768</v>
      </c>
      <c r="H642" s="4">
        <v>24339.69</v>
      </c>
      <c r="I642" s="8">
        <v>0</v>
      </c>
      <c r="J642" s="4">
        <v>18428.310000000001</v>
      </c>
      <c r="K642" s="4" t="str">
        <f t="shared" si="36"/>
        <v>April</v>
      </c>
      <c r="L642">
        <f t="shared" si="37"/>
        <v>4</v>
      </c>
      <c r="M642" s="9">
        <f t="shared" si="38"/>
        <v>0.43089015151515153</v>
      </c>
      <c r="N642" s="9">
        <f t="shared" si="39"/>
        <v>3.9605343567622713E-4</v>
      </c>
    </row>
    <row r="643" spans="1:14" x14ac:dyDescent="0.35">
      <c r="A643" s="6">
        <v>45188</v>
      </c>
      <c r="B643" t="s">
        <v>12</v>
      </c>
      <c r="C643" t="s">
        <v>24</v>
      </c>
      <c r="D643" t="s">
        <v>25</v>
      </c>
      <c r="E643" t="s">
        <v>33</v>
      </c>
      <c r="F643" s="4">
        <v>1</v>
      </c>
      <c r="G643" s="4">
        <v>9348</v>
      </c>
      <c r="H643" s="4">
        <v>5978.83</v>
      </c>
      <c r="I643" s="8">
        <v>0</v>
      </c>
      <c r="J643" s="4">
        <v>3369.17</v>
      </c>
      <c r="K643" s="4" t="str">
        <f t="shared" ref="K643:K706" si="40">TEXT(A643,"mmmm")</f>
        <v>September</v>
      </c>
      <c r="L643">
        <f t="shared" ref="L643:L706" si="41">MONTH(A643)</f>
        <v>9</v>
      </c>
      <c r="M643" s="9">
        <f t="shared" ref="M643:M706" si="42">J643/G643</f>
        <v>0.36041613179289689</v>
      </c>
      <c r="N643" s="9">
        <f t="shared" ref="N643:N706" si="43">G643/SUM(G:G)</f>
        <v>8.6567235238995776E-5</v>
      </c>
    </row>
    <row r="644" spans="1:14" x14ac:dyDescent="0.35">
      <c r="A644" s="6">
        <v>45167</v>
      </c>
      <c r="B644" t="s">
        <v>9</v>
      </c>
      <c r="C644" t="s">
        <v>20</v>
      </c>
      <c r="D644" t="s">
        <v>28</v>
      </c>
      <c r="E644" t="s">
        <v>42</v>
      </c>
      <c r="F644" s="4">
        <v>5</v>
      </c>
      <c r="G644" s="4">
        <v>184840</v>
      </c>
      <c r="H644" s="4">
        <v>119434.88</v>
      </c>
      <c r="I644" s="8">
        <v>0.2</v>
      </c>
      <c r="J644" s="4">
        <v>65405.120000000003</v>
      </c>
      <c r="K644" s="4" t="str">
        <f t="shared" si="40"/>
        <v>August</v>
      </c>
      <c r="L644">
        <f t="shared" si="41"/>
        <v>8</v>
      </c>
      <c r="M644" s="9">
        <f t="shared" si="42"/>
        <v>0.35384721921661977</v>
      </c>
      <c r="N644" s="9">
        <f t="shared" si="43"/>
        <v>1.7117124263560097E-3</v>
      </c>
    </row>
    <row r="645" spans="1:14" x14ac:dyDescent="0.35">
      <c r="A645" s="6">
        <v>45231</v>
      </c>
      <c r="B645" t="s">
        <v>9</v>
      </c>
      <c r="C645" t="s">
        <v>13</v>
      </c>
      <c r="D645" t="s">
        <v>26</v>
      </c>
      <c r="E645" t="s">
        <v>35</v>
      </c>
      <c r="F645" s="4">
        <v>4</v>
      </c>
      <c r="G645" s="4">
        <v>93366.399999999994</v>
      </c>
      <c r="H645" s="4">
        <v>73146.73</v>
      </c>
      <c r="I645" s="8">
        <v>0.2</v>
      </c>
      <c r="J645" s="4">
        <v>20219.669999999998</v>
      </c>
      <c r="K645" s="4" t="str">
        <f t="shared" si="40"/>
        <v>November</v>
      </c>
      <c r="L645">
        <f t="shared" si="41"/>
        <v>11</v>
      </c>
      <c r="M645" s="9">
        <f t="shared" si="42"/>
        <v>0.21656259639442027</v>
      </c>
      <c r="N645" s="9">
        <f t="shared" si="43"/>
        <v>8.6462035860271444E-4</v>
      </c>
    </row>
    <row r="646" spans="1:14" x14ac:dyDescent="0.35">
      <c r="A646" s="6">
        <v>45124</v>
      </c>
      <c r="B646" t="s">
        <v>9</v>
      </c>
      <c r="C646" t="s">
        <v>13</v>
      </c>
      <c r="D646" t="s">
        <v>28</v>
      </c>
      <c r="E646" t="s">
        <v>36</v>
      </c>
      <c r="F646" s="4">
        <v>7</v>
      </c>
      <c r="G646" s="4">
        <v>296164.40000000002</v>
      </c>
      <c r="H646" s="4">
        <v>193080.54</v>
      </c>
      <c r="I646" s="8">
        <v>0.05</v>
      </c>
      <c r="J646" s="4">
        <v>103083.86</v>
      </c>
      <c r="K646" s="4" t="str">
        <f t="shared" si="40"/>
        <v>July</v>
      </c>
      <c r="L646">
        <f t="shared" si="41"/>
        <v>7</v>
      </c>
      <c r="M646" s="9">
        <f t="shared" si="42"/>
        <v>0.34806296773008505</v>
      </c>
      <c r="N646" s="9">
        <f t="shared" si="43"/>
        <v>2.7426330000231113E-3</v>
      </c>
    </row>
    <row r="647" spans="1:14" x14ac:dyDescent="0.35">
      <c r="A647" s="6">
        <v>44970</v>
      </c>
      <c r="B647" t="s">
        <v>9</v>
      </c>
      <c r="C647" t="s">
        <v>20</v>
      </c>
      <c r="D647" t="s">
        <v>28</v>
      </c>
      <c r="E647" t="s">
        <v>44</v>
      </c>
      <c r="F647" s="4">
        <v>1</v>
      </c>
      <c r="G647" s="4">
        <v>4694.3999999999996</v>
      </c>
      <c r="H647" s="4">
        <v>2844.79</v>
      </c>
      <c r="I647" s="8">
        <v>0.2</v>
      </c>
      <c r="J647" s="4">
        <v>1849.61</v>
      </c>
      <c r="K647" s="4" t="str">
        <f t="shared" si="40"/>
        <v>February</v>
      </c>
      <c r="L647">
        <f t="shared" si="41"/>
        <v>2</v>
      </c>
      <c r="M647" s="9">
        <f t="shared" si="42"/>
        <v>0.39400349352419906</v>
      </c>
      <c r="N647" s="9">
        <f t="shared" si="43"/>
        <v>4.3472531996784522E-5</v>
      </c>
    </row>
    <row r="648" spans="1:14" x14ac:dyDescent="0.35">
      <c r="A648" s="6">
        <v>45026</v>
      </c>
      <c r="B648" t="s">
        <v>9</v>
      </c>
      <c r="C648" t="s">
        <v>15</v>
      </c>
      <c r="D648" t="s">
        <v>25</v>
      </c>
      <c r="E648" t="s">
        <v>29</v>
      </c>
      <c r="F648" s="4">
        <v>3</v>
      </c>
      <c r="G648" s="4">
        <v>39744.300000000003</v>
      </c>
      <c r="H648" s="4">
        <v>28748.400000000001</v>
      </c>
      <c r="I648" s="8">
        <v>0.15</v>
      </c>
      <c r="J648" s="4">
        <v>10995.9</v>
      </c>
      <c r="K648" s="4" t="str">
        <f t="shared" si="40"/>
        <v>April</v>
      </c>
      <c r="L648">
        <f t="shared" si="41"/>
        <v>4</v>
      </c>
      <c r="M648" s="9">
        <f t="shared" si="42"/>
        <v>0.27666608796733111</v>
      </c>
      <c r="N648" s="9">
        <f t="shared" si="43"/>
        <v>3.6805243554869705E-4</v>
      </c>
    </row>
    <row r="649" spans="1:14" x14ac:dyDescent="0.35">
      <c r="A649" s="6">
        <v>44976</v>
      </c>
      <c r="B649" t="s">
        <v>9</v>
      </c>
      <c r="C649" t="s">
        <v>20</v>
      </c>
      <c r="D649" t="s">
        <v>26</v>
      </c>
      <c r="E649" t="s">
        <v>30</v>
      </c>
      <c r="F649" s="4">
        <v>5</v>
      </c>
      <c r="G649" s="4">
        <v>117040</v>
      </c>
      <c r="H649" s="4">
        <v>90684.36</v>
      </c>
      <c r="I649" s="8">
        <v>0</v>
      </c>
      <c r="J649" s="4">
        <v>26355.64</v>
      </c>
      <c r="K649" s="4" t="str">
        <f t="shared" si="40"/>
        <v>February</v>
      </c>
      <c r="L649">
        <f t="shared" si="41"/>
        <v>2</v>
      </c>
      <c r="M649" s="9">
        <f t="shared" si="42"/>
        <v>0.2251848940533151</v>
      </c>
      <c r="N649" s="9">
        <f t="shared" si="43"/>
        <v>1.0838499371386464E-3</v>
      </c>
    </row>
    <row r="650" spans="1:14" x14ac:dyDescent="0.35">
      <c r="A650" s="6">
        <v>45165</v>
      </c>
      <c r="B650" t="s">
        <v>12</v>
      </c>
      <c r="C650" t="s">
        <v>21</v>
      </c>
      <c r="D650" t="s">
        <v>26</v>
      </c>
      <c r="E650" t="s">
        <v>30</v>
      </c>
      <c r="F650" s="4">
        <v>5</v>
      </c>
      <c r="G650" s="4">
        <v>193716</v>
      </c>
      <c r="H650" s="4">
        <v>109939.07</v>
      </c>
      <c r="I650" s="8">
        <v>0.2</v>
      </c>
      <c r="J650" s="4">
        <v>83776.929999999993</v>
      </c>
      <c r="K650" s="4" t="str">
        <f t="shared" si="40"/>
        <v>August</v>
      </c>
      <c r="L650">
        <f t="shared" si="41"/>
        <v>8</v>
      </c>
      <c r="M650" s="9">
        <f t="shared" si="42"/>
        <v>0.43247295009188708</v>
      </c>
      <c r="N650" s="9">
        <f t="shared" si="43"/>
        <v>1.7939087014930794E-3</v>
      </c>
    </row>
    <row r="651" spans="1:14" x14ac:dyDescent="0.35">
      <c r="A651" s="6">
        <v>45278</v>
      </c>
      <c r="B651" t="s">
        <v>10</v>
      </c>
      <c r="C651" t="s">
        <v>22</v>
      </c>
      <c r="D651" t="s">
        <v>26</v>
      </c>
      <c r="E651" t="s">
        <v>30</v>
      </c>
      <c r="F651" s="4">
        <v>6</v>
      </c>
      <c r="G651" s="4">
        <v>68155.199999999997</v>
      </c>
      <c r="H651" s="4">
        <v>41235.410000000003</v>
      </c>
      <c r="I651" s="8">
        <v>0.2</v>
      </c>
      <c r="J651" s="4">
        <v>26919.79</v>
      </c>
      <c r="K651" s="4" t="str">
        <f t="shared" si="40"/>
        <v>December</v>
      </c>
      <c r="L651">
        <f t="shared" si="41"/>
        <v>12</v>
      </c>
      <c r="M651" s="9">
        <f t="shared" si="42"/>
        <v>0.39497778599431888</v>
      </c>
      <c r="N651" s="9">
        <f t="shared" si="43"/>
        <v>6.3115182190423666E-4</v>
      </c>
    </row>
    <row r="652" spans="1:14" x14ac:dyDescent="0.35">
      <c r="A652" s="6">
        <v>44971</v>
      </c>
      <c r="B652" t="s">
        <v>12</v>
      </c>
      <c r="C652" t="s">
        <v>24</v>
      </c>
      <c r="D652" t="s">
        <v>25</v>
      </c>
      <c r="E652" t="s">
        <v>29</v>
      </c>
      <c r="F652" s="4">
        <v>6</v>
      </c>
      <c r="G652" s="4">
        <v>158257.79999999999</v>
      </c>
      <c r="H652" s="4">
        <v>97421.25</v>
      </c>
      <c r="I652" s="8">
        <v>0.1</v>
      </c>
      <c r="J652" s="4">
        <v>60836.55</v>
      </c>
      <c r="K652" s="4" t="str">
        <f t="shared" si="40"/>
        <v>February</v>
      </c>
      <c r="L652">
        <f t="shared" si="41"/>
        <v>2</v>
      </c>
      <c r="M652" s="9">
        <f t="shared" si="42"/>
        <v>0.3844142279243109</v>
      </c>
      <c r="N652" s="9">
        <f t="shared" si="43"/>
        <v>1.4655477322428269E-3</v>
      </c>
    </row>
    <row r="653" spans="1:14" x14ac:dyDescent="0.35">
      <c r="A653" s="6">
        <v>45212</v>
      </c>
      <c r="B653" t="s">
        <v>10</v>
      </c>
      <c r="C653" t="s">
        <v>22</v>
      </c>
      <c r="D653" t="s">
        <v>26</v>
      </c>
      <c r="E653" t="s">
        <v>30</v>
      </c>
      <c r="F653" s="4">
        <v>3</v>
      </c>
      <c r="G653" s="4">
        <v>106778.1</v>
      </c>
      <c r="H653" s="4">
        <v>67179.09</v>
      </c>
      <c r="I653" s="8">
        <v>0.05</v>
      </c>
      <c r="J653" s="4">
        <v>39599.01</v>
      </c>
      <c r="K653" s="4" t="str">
        <f t="shared" si="40"/>
        <v>October</v>
      </c>
      <c r="L653">
        <f t="shared" si="41"/>
        <v>10</v>
      </c>
      <c r="M653" s="9">
        <f t="shared" si="42"/>
        <v>0.37085329295052077</v>
      </c>
      <c r="N653" s="9">
        <f t="shared" si="43"/>
        <v>9.88819523007383E-4</v>
      </c>
    </row>
    <row r="654" spans="1:14" x14ac:dyDescent="0.35">
      <c r="A654" s="6">
        <v>45024</v>
      </c>
      <c r="B654" t="s">
        <v>10</v>
      </c>
      <c r="C654" t="s">
        <v>19</v>
      </c>
      <c r="D654" t="s">
        <v>28</v>
      </c>
      <c r="E654" t="s">
        <v>36</v>
      </c>
      <c r="F654" s="4">
        <v>5</v>
      </c>
      <c r="G654" s="4">
        <v>66976</v>
      </c>
      <c r="H654" s="4">
        <v>43504.73</v>
      </c>
      <c r="I654" s="8">
        <v>0.2</v>
      </c>
      <c r="J654" s="4">
        <v>23471.27</v>
      </c>
      <c r="K654" s="4" t="str">
        <f t="shared" si="40"/>
        <v>April</v>
      </c>
      <c r="L654">
        <f t="shared" si="41"/>
        <v>4</v>
      </c>
      <c r="M654" s="9">
        <f t="shared" si="42"/>
        <v>0.35044299450549449</v>
      </c>
      <c r="N654" s="9">
        <f t="shared" si="43"/>
        <v>6.2023183005637363E-4</v>
      </c>
    </row>
    <row r="655" spans="1:14" x14ac:dyDescent="0.35">
      <c r="A655" s="6">
        <v>45034</v>
      </c>
      <c r="B655" t="s">
        <v>9</v>
      </c>
      <c r="C655" t="s">
        <v>20</v>
      </c>
      <c r="D655" t="s">
        <v>27</v>
      </c>
      <c r="E655" t="s">
        <v>40</v>
      </c>
      <c r="F655" s="4">
        <v>5</v>
      </c>
      <c r="G655" s="4">
        <v>52672.75</v>
      </c>
      <c r="H655" s="4">
        <v>32092.78</v>
      </c>
      <c r="I655" s="8">
        <v>0.05</v>
      </c>
      <c r="J655" s="4">
        <v>20579.97</v>
      </c>
      <c r="K655" s="4" t="str">
        <f t="shared" si="40"/>
        <v>April</v>
      </c>
      <c r="L655">
        <f t="shared" si="41"/>
        <v>4</v>
      </c>
      <c r="M655" s="9">
        <f t="shared" si="42"/>
        <v>0.39071379413453827</v>
      </c>
      <c r="N655" s="9">
        <f t="shared" si="43"/>
        <v>4.8777645912867083E-4</v>
      </c>
    </row>
    <row r="656" spans="1:14" x14ac:dyDescent="0.35">
      <c r="A656" s="6">
        <v>45155</v>
      </c>
      <c r="B656" t="s">
        <v>11</v>
      </c>
      <c r="C656" t="s">
        <v>16</v>
      </c>
      <c r="D656" t="s">
        <v>25</v>
      </c>
      <c r="E656" t="s">
        <v>32</v>
      </c>
      <c r="F656" s="4">
        <v>2</v>
      </c>
      <c r="G656" s="4">
        <v>38191.9</v>
      </c>
      <c r="H656" s="4">
        <v>25914.12</v>
      </c>
      <c r="I656" s="8">
        <v>0.05</v>
      </c>
      <c r="J656" s="4">
        <v>12277.78</v>
      </c>
      <c r="K656" s="4" t="str">
        <f t="shared" si="40"/>
        <v>August</v>
      </c>
      <c r="L656">
        <f t="shared" si="41"/>
        <v>8</v>
      </c>
      <c r="M656" s="9">
        <f t="shared" si="42"/>
        <v>0.32147601978429979</v>
      </c>
      <c r="N656" s="9">
        <f t="shared" si="43"/>
        <v>3.5367642185753136E-4</v>
      </c>
    </row>
    <row r="657" spans="1:14" x14ac:dyDescent="0.35">
      <c r="A657" s="6">
        <v>45225</v>
      </c>
      <c r="B657" t="s">
        <v>10</v>
      </c>
      <c r="C657" t="s">
        <v>19</v>
      </c>
      <c r="D657" t="s">
        <v>26</v>
      </c>
      <c r="E657" t="s">
        <v>30</v>
      </c>
      <c r="F657" s="4">
        <v>3</v>
      </c>
      <c r="G657" s="4">
        <v>35731.800000000003</v>
      </c>
      <c r="H657" s="4">
        <v>27053.33</v>
      </c>
      <c r="I657" s="8">
        <v>0.1</v>
      </c>
      <c r="J657" s="4">
        <v>8678.4699999999993</v>
      </c>
      <c r="K657" s="4" t="str">
        <f t="shared" si="40"/>
        <v>October</v>
      </c>
      <c r="L657">
        <f t="shared" si="41"/>
        <v>10</v>
      </c>
      <c r="M657" s="9">
        <f t="shared" si="42"/>
        <v>0.24287805260300344</v>
      </c>
      <c r="N657" s="9">
        <f t="shared" si="43"/>
        <v>3.3089464442797922E-4</v>
      </c>
    </row>
    <row r="658" spans="1:14" x14ac:dyDescent="0.35">
      <c r="A658" s="6">
        <v>45217</v>
      </c>
      <c r="B658" t="s">
        <v>12</v>
      </c>
      <c r="C658" t="s">
        <v>21</v>
      </c>
      <c r="D658" t="s">
        <v>26</v>
      </c>
      <c r="E658" t="s">
        <v>43</v>
      </c>
      <c r="F658" s="4">
        <v>1</v>
      </c>
      <c r="G658" s="4">
        <v>33950.400000000001</v>
      </c>
      <c r="H658" s="4">
        <v>25948.22</v>
      </c>
      <c r="I658" s="8">
        <v>0.2</v>
      </c>
      <c r="J658" s="4">
        <v>8002.18</v>
      </c>
      <c r="K658" s="4" t="str">
        <f t="shared" si="40"/>
        <v>October</v>
      </c>
      <c r="L658">
        <f t="shared" si="41"/>
        <v>10</v>
      </c>
      <c r="M658" s="9">
        <f t="shared" si="42"/>
        <v>0.23570208303878598</v>
      </c>
      <c r="N658" s="9">
        <f t="shared" si="43"/>
        <v>3.1439797424668404E-4</v>
      </c>
    </row>
    <row r="659" spans="1:14" x14ac:dyDescent="0.35">
      <c r="A659" s="6">
        <v>45242</v>
      </c>
      <c r="B659" t="s">
        <v>10</v>
      </c>
      <c r="C659" t="s">
        <v>14</v>
      </c>
      <c r="D659" t="s">
        <v>26</v>
      </c>
      <c r="E659" t="s">
        <v>34</v>
      </c>
      <c r="F659" s="4">
        <v>7</v>
      </c>
      <c r="G659" s="4">
        <v>185441.9</v>
      </c>
      <c r="H659" s="4">
        <v>103187.74</v>
      </c>
      <c r="I659" s="8">
        <v>0.05</v>
      </c>
      <c r="J659" s="4">
        <v>82254.16</v>
      </c>
      <c r="K659" s="4" t="str">
        <f t="shared" si="40"/>
        <v>November</v>
      </c>
      <c r="L659">
        <f t="shared" si="41"/>
        <v>11</v>
      </c>
      <c r="M659" s="9">
        <f t="shared" si="42"/>
        <v>0.44355757787209904</v>
      </c>
      <c r="N659" s="9">
        <f t="shared" si="43"/>
        <v>1.7172863265368346E-3</v>
      </c>
    </row>
    <row r="660" spans="1:14" x14ac:dyDescent="0.35">
      <c r="A660" s="6">
        <v>45205</v>
      </c>
      <c r="B660" t="s">
        <v>11</v>
      </c>
      <c r="C660" t="s">
        <v>17</v>
      </c>
      <c r="D660" t="s">
        <v>28</v>
      </c>
      <c r="E660" t="s">
        <v>39</v>
      </c>
      <c r="F660" s="4">
        <v>2</v>
      </c>
      <c r="G660" s="4">
        <v>85888.8</v>
      </c>
      <c r="H660" s="4">
        <v>67391.14</v>
      </c>
      <c r="I660" s="8">
        <v>0.1</v>
      </c>
      <c r="J660" s="4">
        <v>18497.66</v>
      </c>
      <c r="K660" s="4" t="str">
        <f t="shared" si="40"/>
        <v>October</v>
      </c>
      <c r="L660">
        <f t="shared" si="41"/>
        <v>10</v>
      </c>
      <c r="M660" s="9">
        <f t="shared" si="42"/>
        <v>0.21536754501168953</v>
      </c>
      <c r="N660" s="9">
        <f t="shared" si="43"/>
        <v>7.9537397881847033E-4</v>
      </c>
    </row>
    <row r="661" spans="1:14" x14ac:dyDescent="0.35">
      <c r="A661" s="6">
        <v>44956</v>
      </c>
      <c r="B661" t="s">
        <v>10</v>
      </c>
      <c r="C661" t="s">
        <v>22</v>
      </c>
      <c r="D661" t="s">
        <v>27</v>
      </c>
      <c r="E661" t="s">
        <v>40</v>
      </c>
      <c r="F661" s="4">
        <v>5</v>
      </c>
      <c r="G661" s="4">
        <v>206864.5</v>
      </c>
      <c r="H661" s="4">
        <v>142036.19</v>
      </c>
      <c r="I661" s="8">
        <v>0.15</v>
      </c>
      <c r="J661" s="4">
        <v>64828.31</v>
      </c>
      <c r="K661" s="4" t="str">
        <f t="shared" si="40"/>
        <v>January</v>
      </c>
      <c r="L661">
        <f t="shared" si="41"/>
        <v>1</v>
      </c>
      <c r="M661" s="9">
        <f t="shared" si="42"/>
        <v>0.3133853802851625</v>
      </c>
      <c r="N661" s="9">
        <f t="shared" si="43"/>
        <v>1.9156705000104024E-3</v>
      </c>
    </row>
    <row r="662" spans="1:14" x14ac:dyDescent="0.35">
      <c r="A662" s="6">
        <v>45240</v>
      </c>
      <c r="B662" t="s">
        <v>12</v>
      </c>
      <c r="C662" t="s">
        <v>24</v>
      </c>
      <c r="D662" t="s">
        <v>27</v>
      </c>
      <c r="E662" t="s">
        <v>31</v>
      </c>
      <c r="F662" s="4">
        <v>7</v>
      </c>
      <c r="G662" s="4">
        <v>132867</v>
      </c>
      <c r="H662" s="4">
        <v>102904.32000000001</v>
      </c>
      <c r="I662" s="8">
        <v>0.05</v>
      </c>
      <c r="J662" s="4">
        <v>29962.68</v>
      </c>
      <c r="K662" s="4" t="str">
        <f t="shared" si="40"/>
        <v>November</v>
      </c>
      <c r="L662">
        <f t="shared" si="41"/>
        <v>11</v>
      </c>
      <c r="M662" s="9">
        <f t="shared" si="42"/>
        <v>0.22550881708776446</v>
      </c>
      <c r="N662" s="9">
        <f t="shared" si="43"/>
        <v>1.2304160081835313E-3</v>
      </c>
    </row>
    <row r="663" spans="1:14" x14ac:dyDescent="0.35">
      <c r="A663" s="6">
        <v>45152</v>
      </c>
      <c r="B663" t="s">
        <v>10</v>
      </c>
      <c r="C663" t="s">
        <v>22</v>
      </c>
      <c r="D663" t="s">
        <v>25</v>
      </c>
      <c r="E663" t="s">
        <v>33</v>
      </c>
      <c r="F663" s="4">
        <v>1</v>
      </c>
      <c r="G663" s="4">
        <v>23789.7</v>
      </c>
      <c r="H663" s="4">
        <v>16667.36</v>
      </c>
      <c r="I663" s="8">
        <v>0.1</v>
      </c>
      <c r="J663" s="4">
        <v>7122.34</v>
      </c>
      <c r="K663" s="4" t="str">
        <f t="shared" si="40"/>
        <v>August</v>
      </c>
      <c r="L663">
        <f t="shared" si="41"/>
        <v>8</v>
      </c>
      <c r="M663" s="9">
        <f t="shared" si="42"/>
        <v>0.29938755007419177</v>
      </c>
      <c r="N663" s="9">
        <f t="shared" si="43"/>
        <v>2.2030472359490136E-4</v>
      </c>
    </row>
    <row r="664" spans="1:14" x14ac:dyDescent="0.35">
      <c r="A664" s="6">
        <v>45135</v>
      </c>
      <c r="B664" t="s">
        <v>10</v>
      </c>
      <c r="C664" t="s">
        <v>22</v>
      </c>
      <c r="D664" t="s">
        <v>25</v>
      </c>
      <c r="E664" t="s">
        <v>29</v>
      </c>
      <c r="F664" s="4">
        <v>5</v>
      </c>
      <c r="G664" s="4">
        <v>28192</v>
      </c>
      <c r="H664" s="4">
        <v>17652.439999999999</v>
      </c>
      <c r="I664" s="8">
        <v>0.2</v>
      </c>
      <c r="J664" s="4">
        <v>10539.56</v>
      </c>
      <c r="K664" s="4" t="str">
        <f t="shared" si="40"/>
        <v>July</v>
      </c>
      <c r="L664">
        <f t="shared" si="41"/>
        <v>7</v>
      </c>
      <c r="M664" s="9">
        <f t="shared" si="42"/>
        <v>0.37384931895573209</v>
      </c>
      <c r="N664" s="9">
        <f t="shared" si="43"/>
        <v>2.610722610031845E-4</v>
      </c>
    </row>
    <row r="665" spans="1:14" x14ac:dyDescent="0.35">
      <c r="A665" s="6">
        <v>45257</v>
      </c>
      <c r="B665" t="s">
        <v>11</v>
      </c>
      <c r="C665" t="s">
        <v>18</v>
      </c>
      <c r="D665" t="s">
        <v>26</v>
      </c>
      <c r="E665" t="s">
        <v>34</v>
      </c>
      <c r="F665" s="4">
        <v>4</v>
      </c>
      <c r="G665" s="4">
        <v>181351.2</v>
      </c>
      <c r="H665" s="4">
        <v>141767.51</v>
      </c>
      <c r="I665" s="8">
        <v>0.05</v>
      </c>
      <c r="J665" s="4">
        <v>39583.69</v>
      </c>
      <c r="K665" s="4" t="str">
        <f t="shared" si="40"/>
        <v>November</v>
      </c>
      <c r="L665">
        <f t="shared" si="41"/>
        <v>11</v>
      </c>
      <c r="M665" s="9">
        <f t="shared" si="42"/>
        <v>0.2182709019846574</v>
      </c>
      <c r="N665" s="9">
        <f t="shared" si="43"/>
        <v>1.6794043636365183E-3</v>
      </c>
    </row>
    <row r="666" spans="1:14" x14ac:dyDescent="0.35">
      <c r="A666" s="6">
        <v>45290</v>
      </c>
      <c r="B666" t="s">
        <v>11</v>
      </c>
      <c r="C666" t="s">
        <v>16</v>
      </c>
      <c r="D666" t="s">
        <v>25</v>
      </c>
      <c r="E666" t="s">
        <v>32</v>
      </c>
      <c r="F666" s="4">
        <v>3</v>
      </c>
      <c r="G666" s="4">
        <v>25302.3</v>
      </c>
      <c r="H666" s="4">
        <v>19905.04</v>
      </c>
      <c r="I666" s="8">
        <v>0.05</v>
      </c>
      <c r="J666" s="4">
        <v>5397.26</v>
      </c>
      <c r="K666" s="4" t="str">
        <f t="shared" si="40"/>
        <v>December</v>
      </c>
      <c r="L666">
        <f t="shared" si="41"/>
        <v>12</v>
      </c>
      <c r="M666" s="9">
        <f t="shared" si="42"/>
        <v>0.21331104286962058</v>
      </c>
      <c r="N666" s="9">
        <f t="shared" si="43"/>
        <v>2.343121690401843E-4</v>
      </c>
    </row>
    <row r="667" spans="1:14" x14ac:dyDescent="0.35">
      <c r="A667" s="6">
        <v>45172</v>
      </c>
      <c r="B667" t="s">
        <v>9</v>
      </c>
      <c r="C667" t="s">
        <v>15</v>
      </c>
      <c r="D667" t="s">
        <v>25</v>
      </c>
      <c r="E667" t="s">
        <v>37</v>
      </c>
      <c r="F667" s="4">
        <v>2</v>
      </c>
      <c r="G667" s="4">
        <v>28830.3</v>
      </c>
      <c r="H667" s="4">
        <v>18723.009999999998</v>
      </c>
      <c r="I667" s="8">
        <v>0.15</v>
      </c>
      <c r="J667" s="4">
        <v>10107.290000000001</v>
      </c>
      <c r="K667" s="4" t="str">
        <f t="shared" si="40"/>
        <v>September</v>
      </c>
      <c r="L667">
        <f t="shared" si="41"/>
        <v>9</v>
      </c>
      <c r="M667" s="9">
        <f t="shared" si="42"/>
        <v>0.35057873140411305</v>
      </c>
      <c r="N667" s="9">
        <f t="shared" si="43"/>
        <v>2.6698324370034445E-4</v>
      </c>
    </row>
    <row r="668" spans="1:14" x14ac:dyDescent="0.35">
      <c r="A668" s="6">
        <v>45180</v>
      </c>
      <c r="B668" t="s">
        <v>10</v>
      </c>
      <c r="C668" t="s">
        <v>19</v>
      </c>
      <c r="D668" t="s">
        <v>25</v>
      </c>
      <c r="E668" t="s">
        <v>29</v>
      </c>
      <c r="F668" s="4">
        <v>3</v>
      </c>
      <c r="G668" s="4">
        <v>13224.3</v>
      </c>
      <c r="H668" s="4">
        <v>8682.15</v>
      </c>
      <c r="I668" s="8">
        <v>0.15</v>
      </c>
      <c r="J668" s="4">
        <v>4542.1499999999996</v>
      </c>
      <c r="K668" s="4" t="str">
        <f t="shared" si="40"/>
        <v>September</v>
      </c>
      <c r="L668">
        <f t="shared" si="41"/>
        <v>9</v>
      </c>
      <c r="M668" s="9">
        <f t="shared" si="42"/>
        <v>0.34346997572650345</v>
      </c>
      <c r="N668" s="9">
        <f t="shared" si="43"/>
        <v>1.224637450760646E-4</v>
      </c>
    </row>
    <row r="669" spans="1:14" x14ac:dyDescent="0.35">
      <c r="A669" s="6">
        <v>45251</v>
      </c>
      <c r="B669" t="s">
        <v>9</v>
      </c>
      <c r="C669" t="s">
        <v>13</v>
      </c>
      <c r="D669" t="s">
        <v>25</v>
      </c>
      <c r="E669" t="s">
        <v>33</v>
      </c>
      <c r="F669" s="4">
        <v>1</v>
      </c>
      <c r="G669" s="4">
        <v>18151.75</v>
      </c>
      <c r="H669" s="4">
        <v>13692.34</v>
      </c>
      <c r="I669" s="8">
        <v>0.15</v>
      </c>
      <c r="J669" s="4">
        <v>4459.41</v>
      </c>
      <c r="K669" s="4" t="str">
        <f t="shared" si="40"/>
        <v>November</v>
      </c>
      <c r="L669">
        <f t="shared" si="41"/>
        <v>11</v>
      </c>
      <c r="M669" s="9">
        <f t="shared" si="42"/>
        <v>0.24567383310149157</v>
      </c>
      <c r="N669" s="9">
        <f t="shared" si="43"/>
        <v>1.680944386231752E-4</v>
      </c>
    </row>
    <row r="670" spans="1:14" x14ac:dyDescent="0.35">
      <c r="A670" s="6">
        <v>45106</v>
      </c>
      <c r="B670" t="s">
        <v>10</v>
      </c>
      <c r="C670" t="s">
        <v>19</v>
      </c>
      <c r="D670" t="s">
        <v>27</v>
      </c>
      <c r="E670" t="s">
        <v>40</v>
      </c>
      <c r="F670" s="4">
        <v>4</v>
      </c>
      <c r="G670" s="4">
        <v>62593.599999999999</v>
      </c>
      <c r="H670" s="4">
        <v>44798.18</v>
      </c>
      <c r="I670" s="8">
        <v>0.05</v>
      </c>
      <c r="J670" s="4">
        <v>17795.419999999998</v>
      </c>
      <c r="K670" s="4" t="str">
        <f t="shared" si="40"/>
        <v>June</v>
      </c>
      <c r="L670">
        <f t="shared" si="41"/>
        <v>6</v>
      </c>
      <c r="M670" s="9">
        <f t="shared" si="42"/>
        <v>0.28430095089593821</v>
      </c>
      <c r="N670" s="9">
        <f t="shared" si="43"/>
        <v>5.7964857677103186E-4</v>
      </c>
    </row>
    <row r="671" spans="1:14" x14ac:dyDescent="0.35">
      <c r="A671" s="6">
        <v>45201</v>
      </c>
      <c r="B671" t="s">
        <v>11</v>
      </c>
      <c r="C671" t="s">
        <v>16</v>
      </c>
      <c r="D671" t="s">
        <v>27</v>
      </c>
      <c r="E671" t="s">
        <v>38</v>
      </c>
      <c r="F671" s="4">
        <v>3</v>
      </c>
      <c r="G671" s="4">
        <v>11429.1</v>
      </c>
      <c r="H671" s="4">
        <v>8268.4</v>
      </c>
      <c r="I671" s="8">
        <v>0.15</v>
      </c>
      <c r="J671" s="4">
        <v>3160.7</v>
      </c>
      <c r="K671" s="4" t="str">
        <f t="shared" si="40"/>
        <v>October</v>
      </c>
      <c r="L671">
        <f t="shared" si="41"/>
        <v>10</v>
      </c>
      <c r="M671" s="9">
        <f t="shared" si="42"/>
        <v>0.27654845963374192</v>
      </c>
      <c r="N671" s="9">
        <f t="shared" si="43"/>
        <v>1.0583927987484025E-4</v>
      </c>
    </row>
    <row r="672" spans="1:14" x14ac:dyDescent="0.35">
      <c r="A672" s="6">
        <v>45207</v>
      </c>
      <c r="B672" t="s">
        <v>12</v>
      </c>
      <c r="C672" t="s">
        <v>24</v>
      </c>
      <c r="D672" t="s">
        <v>27</v>
      </c>
      <c r="E672" t="s">
        <v>31</v>
      </c>
      <c r="F672" s="4">
        <v>5</v>
      </c>
      <c r="G672" s="4">
        <v>103538.5</v>
      </c>
      <c r="H672" s="4">
        <v>71115.8</v>
      </c>
      <c r="I672" s="8">
        <v>0.15</v>
      </c>
      <c r="J672" s="4">
        <v>32422.7</v>
      </c>
      <c r="K672" s="4" t="str">
        <f t="shared" si="40"/>
        <v>October</v>
      </c>
      <c r="L672">
        <f t="shared" si="41"/>
        <v>10</v>
      </c>
      <c r="M672" s="9">
        <f t="shared" si="42"/>
        <v>0.31314631755337385</v>
      </c>
      <c r="N672" s="9">
        <f t="shared" si="43"/>
        <v>9.5881917905356914E-4</v>
      </c>
    </row>
    <row r="673" spans="1:14" x14ac:dyDescent="0.35">
      <c r="A673" s="6">
        <v>45282</v>
      </c>
      <c r="B673" t="s">
        <v>10</v>
      </c>
      <c r="C673" t="s">
        <v>22</v>
      </c>
      <c r="D673" t="s">
        <v>26</v>
      </c>
      <c r="E673" t="s">
        <v>34</v>
      </c>
      <c r="F673" s="4">
        <v>6</v>
      </c>
      <c r="G673" s="4">
        <v>27468.3</v>
      </c>
      <c r="H673" s="4">
        <v>15496.79</v>
      </c>
      <c r="I673" s="8">
        <v>0.05</v>
      </c>
      <c r="J673" s="4">
        <v>11971.51</v>
      </c>
      <c r="K673" s="4" t="str">
        <f t="shared" si="40"/>
        <v>December</v>
      </c>
      <c r="L673">
        <f t="shared" si="41"/>
        <v>12</v>
      </c>
      <c r="M673" s="9">
        <f t="shared" si="42"/>
        <v>0.43583002952494332</v>
      </c>
      <c r="N673" s="9">
        <f t="shared" si="43"/>
        <v>2.5437043086385405E-4</v>
      </c>
    </row>
    <row r="674" spans="1:14" x14ac:dyDescent="0.35">
      <c r="A674" s="6">
        <v>45106</v>
      </c>
      <c r="B674" t="s">
        <v>10</v>
      </c>
      <c r="C674" t="s">
        <v>14</v>
      </c>
      <c r="D674" t="s">
        <v>25</v>
      </c>
      <c r="E674" t="s">
        <v>29</v>
      </c>
      <c r="F674" s="4">
        <v>2</v>
      </c>
      <c r="G674" s="4">
        <v>67662.399999999994</v>
      </c>
      <c r="H674" s="4">
        <v>43047.12</v>
      </c>
      <c r="I674" s="8">
        <v>0.2</v>
      </c>
      <c r="J674" s="4">
        <v>24615.279999999999</v>
      </c>
      <c r="K674" s="4" t="str">
        <f t="shared" si="40"/>
        <v>June</v>
      </c>
      <c r="L674">
        <f t="shared" si="41"/>
        <v>6</v>
      </c>
      <c r="M674" s="9">
        <f t="shared" si="42"/>
        <v>0.36379554967012701</v>
      </c>
      <c r="N674" s="9">
        <f t="shared" si="43"/>
        <v>6.2658824322154769E-4</v>
      </c>
    </row>
    <row r="675" spans="1:14" x14ac:dyDescent="0.35">
      <c r="A675" s="6">
        <v>45042</v>
      </c>
      <c r="B675" t="s">
        <v>11</v>
      </c>
      <c r="C675" t="s">
        <v>17</v>
      </c>
      <c r="D675" t="s">
        <v>26</v>
      </c>
      <c r="E675" t="s">
        <v>43</v>
      </c>
      <c r="F675" s="4">
        <v>7</v>
      </c>
      <c r="G675" s="4">
        <v>203049</v>
      </c>
      <c r="H675" s="4">
        <v>144576.22</v>
      </c>
      <c r="I675" s="8">
        <v>0.1</v>
      </c>
      <c r="J675" s="4">
        <v>58472.78</v>
      </c>
      <c r="K675" s="4" t="str">
        <f t="shared" si="40"/>
        <v>April</v>
      </c>
      <c r="L675">
        <f t="shared" si="41"/>
        <v>4</v>
      </c>
      <c r="M675" s="9">
        <f t="shared" si="42"/>
        <v>0.28797374032868911</v>
      </c>
      <c r="N675" s="9">
        <f t="shared" si="43"/>
        <v>1.8803370291017173E-3</v>
      </c>
    </row>
    <row r="676" spans="1:14" x14ac:dyDescent="0.35">
      <c r="A676" s="6">
        <v>44931</v>
      </c>
      <c r="B676" t="s">
        <v>9</v>
      </c>
      <c r="C676" t="s">
        <v>15</v>
      </c>
      <c r="D676" t="s">
        <v>27</v>
      </c>
      <c r="E676" t="s">
        <v>31</v>
      </c>
      <c r="F676" s="4">
        <v>1</v>
      </c>
      <c r="G676" s="4">
        <v>15465.75</v>
      </c>
      <c r="H676" s="4">
        <v>8914.43</v>
      </c>
      <c r="I676" s="8">
        <v>0.15</v>
      </c>
      <c r="J676" s="4">
        <v>6551.32</v>
      </c>
      <c r="K676" s="4" t="str">
        <f t="shared" si="40"/>
        <v>January</v>
      </c>
      <c r="L676">
        <f t="shared" si="41"/>
        <v>1</v>
      </c>
      <c r="M676" s="9">
        <f t="shared" si="42"/>
        <v>0.42360182984982947</v>
      </c>
      <c r="N676" s="9">
        <f t="shared" si="43"/>
        <v>1.4322071228043421E-4</v>
      </c>
    </row>
    <row r="677" spans="1:14" x14ac:dyDescent="0.35">
      <c r="A677" s="6">
        <v>45226</v>
      </c>
      <c r="B677" t="s">
        <v>11</v>
      </c>
      <c r="C677" t="s">
        <v>17</v>
      </c>
      <c r="D677" t="s">
        <v>28</v>
      </c>
      <c r="E677" t="s">
        <v>42</v>
      </c>
      <c r="F677" s="4">
        <v>5</v>
      </c>
      <c r="G677" s="4">
        <v>159338.75</v>
      </c>
      <c r="H677" s="4">
        <v>89028.11</v>
      </c>
      <c r="I677" s="8">
        <v>0.05</v>
      </c>
      <c r="J677" s="4">
        <v>70310.64</v>
      </c>
      <c r="K677" s="4" t="str">
        <f t="shared" si="40"/>
        <v>October</v>
      </c>
      <c r="L677">
        <f t="shared" si="41"/>
        <v>10</v>
      </c>
      <c r="M677" s="9">
        <f t="shared" si="42"/>
        <v>0.44126516619466388</v>
      </c>
      <c r="N677" s="9">
        <f t="shared" si="43"/>
        <v>1.4755578791118462E-3</v>
      </c>
    </row>
    <row r="678" spans="1:14" x14ac:dyDescent="0.35">
      <c r="A678" s="6">
        <v>45085</v>
      </c>
      <c r="B678" t="s">
        <v>10</v>
      </c>
      <c r="C678" t="s">
        <v>14</v>
      </c>
      <c r="D678" t="s">
        <v>28</v>
      </c>
      <c r="E678" t="s">
        <v>39</v>
      </c>
      <c r="F678" s="4">
        <v>2</v>
      </c>
      <c r="G678" s="4">
        <v>80216.2</v>
      </c>
      <c r="H678" s="4">
        <v>63717.33</v>
      </c>
      <c r="I678" s="8">
        <v>0.15</v>
      </c>
      <c r="J678" s="4">
        <v>16498.87</v>
      </c>
      <c r="K678" s="4" t="str">
        <f t="shared" si="40"/>
        <v>June</v>
      </c>
      <c r="L678">
        <f t="shared" si="41"/>
        <v>6</v>
      </c>
      <c r="M678" s="9">
        <f t="shared" si="42"/>
        <v>0.20568002473315863</v>
      </c>
      <c r="N678" s="9">
        <f t="shared" si="43"/>
        <v>7.4284281722061753E-4</v>
      </c>
    </row>
    <row r="679" spans="1:14" x14ac:dyDescent="0.35">
      <c r="A679" s="6">
        <v>45214</v>
      </c>
      <c r="B679" t="s">
        <v>11</v>
      </c>
      <c r="C679" t="s">
        <v>17</v>
      </c>
      <c r="D679" t="s">
        <v>27</v>
      </c>
      <c r="E679" t="s">
        <v>38</v>
      </c>
      <c r="F679" s="4">
        <v>5</v>
      </c>
      <c r="G679" s="4">
        <v>160785</v>
      </c>
      <c r="H679" s="4">
        <v>128032.07</v>
      </c>
      <c r="I679" s="8">
        <v>0.1</v>
      </c>
      <c r="J679" s="4">
        <v>32752.93</v>
      </c>
      <c r="K679" s="4" t="str">
        <f t="shared" si="40"/>
        <v>October</v>
      </c>
      <c r="L679">
        <f t="shared" si="41"/>
        <v>10</v>
      </c>
      <c r="M679" s="9">
        <f t="shared" si="42"/>
        <v>0.20370637808253259</v>
      </c>
      <c r="N679" s="9">
        <f t="shared" si="43"/>
        <v>1.4889508898055131E-3</v>
      </c>
    </row>
    <row r="680" spans="1:14" x14ac:dyDescent="0.35">
      <c r="A680" s="6">
        <v>44942</v>
      </c>
      <c r="B680" t="s">
        <v>10</v>
      </c>
      <c r="C680" t="s">
        <v>22</v>
      </c>
      <c r="D680" t="s">
        <v>26</v>
      </c>
      <c r="E680" t="s">
        <v>34</v>
      </c>
      <c r="F680" s="4">
        <v>2</v>
      </c>
      <c r="G680" s="4">
        <v>71262</v>
      </c>
      <c r="H680" s="4">
        <v>48114.52</v>
      </c>
      <c r="I680" s="8">
        <v>0</v>
      </c>
      <c r="J680" s="4">
        <v>23147.48</v>
      </c>
      <c r="K680" s="4" t="str">
        <f t="shared" si="40"/>
        <v>January</v>
      </c>
      <c r="L680">
        <f t="shared" si="41"/>
        <v>1</v>
      </c>
      <c r="M680" s="9">
        <f t="shared" si="42"/>
        <v>0.32482220538295303</v>
      </c>
      <c r="N680" s="9">
        <f t="shared" si="43"/>
        <v>6.5992237030394925E-4</v>
      </c>
    </row>
    <row r="681" spans="1:14" x14ac:dyDescent="0.35">
      <c r="A681" s="6">
        <v>45267</v>
      </c>
      <c r="B681" t="s">
        <v>10</v>
      </c>
      <c r="C681" t="s">
        <v>22</v>
      </c>
      <c r="D681" t="s">
        <v>27</v>
      </c>
      <c r="E681" t="s">
        <v>40</v>
      </c>
      <c r="F681" s="4">
        <v>3</v>
      </c>
      <c r="G681" s="4">
        <v>96993</v>
      </c>
      <c r="H681" s="4">
        <v>56478.400000000001</v>
      </c>
      <c r="I681" s="8">
        <v>0</v>
      </c>
      <c r="J681" s="4">
        <v>40514.6</v>
      </c>
      <c r="K681" s="4" t="str">
        <f t="shared" si="40"/>
        <v>December</v>
      </c>
      <c r="L681">
        <f t="shared" si="41"/>
        <v>12</v>
      </c>
      <c r="M681" s="9">
        <f t="shared" si="42"/>
        <v>0.41770643242295835</v>
      </c>
      <c r="N681" s="9">
        <f t="shared" si="43"/>
        <v>8.9820451941976013E-4</v>
      </c>
    </row>
    <row r="682" spans="1:14" x14ac:dyDescent="0.35">
      <c r="A682" s="6">
        <v>45274</v>
      </c>
      <c r="B682" t="s">
        <v>11</v>
      </c>
      <c r="C682" t="s">
        <v>17</v>
      </c>
      <c r="D682" t="s">
        <v>28</v>
      </c>
      <c r="E682" t="s">
        <v>42</v>
      </c>
      <c r="F682" s="4">
        <v>2</v>
      </c>
      <c r="G682" s="4">
        <v>71844</v>
      </c>
      <c r="H682" s="4">
        <v>55497.93</v>
      </c>
      <c r="I682" s="8">
        <v>0</v>
      </c>
      <c r="J682" s="4">
        <v>16346.07</v>
      </c>
      <c r="K682" s="4" t="str">
        <f t="shared" si="40"/>
        <v>December</v>
      </c>
      <c r="L682">
        <f t="shared" si="41"/>
        <v>12</v>
      </c>
      <c r="M682" s="9">
        <f t="shared" si="42"/>
        <v>0.22752171371304492</v>
      </c>
      <c r="N682" s="9">
        <f t="shared" si="43"/>
        <v>6.6531198636183273E-4</v>
      </c>
    </row>
    <row r="683" spans="1:14" x14ac:dyDescent="0.35">
      <c r="A683" s="6">
        <v>45186</v>
      </c>
      <c r="B683" t="s">
        <v>11</v>
      </c>
      <c r="C683" t="s">
        <v>16</v>
      </c>
      <c r="D683" t="s">
        <v>25</v>
      </c>
      <c r="E683" t="s">
        <v>37</v>
      </c>
      <c r="F683" s="4">
        <v>5</v>
      </c>
      <c r="G683" s="4">
        <v>112755.5</v>
      </c>
      <c r="H683" s="4">
        <v>78998.47</v>
      </c>
      <c r="I683" s="8">
        <v>0.05</v>
      </c>
      <c r="J683" s="4">
        <v>33757.03</v>
      </c>
      <c r="K683" s="4" t="str">
        <f t="shared" si="40"/>
        <v>September</v>
      </c>
      <c r="L683">
        <f t="shared" si="41"/>
        <v>9</v>
      </c>
      <c r="M683" s="9">
        <f t="shared" si="42"/>
        <v>0.29938255783531625</v>
      </c>
      <c r="N683" s="9">
        <f t="shared" si="43"/>
        <v>1.0441732876541065E-3</v>
      </c>
    </row>
    <row r="684" spans="1:14" x14ac:dyDescent="0.35">
      <c r="A684" s="6">
        <v>44938</v>
      </c>
      <c r="B684" t="s">
        <v>11</v>
      </c>
      <c r="C684" t="s">
        <v>17</v>
      </c>
      <c r="D684" t="s">
        <v>28</v>
      </c>
      <c r="E684" t="s">
        <v>42</v>
      </c>
      <c r="F684" s="4">
        <v>2</v>
      </c>
      <c r="G684" s="4">
        <v>84150</v>
      </c>
      <c r="H684" s="4">
        <v>64098.89</v>
      </c>
      <c r="I684" s="8">
        <v>0.1</v>
      </c>
      <c r="J684" s="4">
        <v>20051.11</v>
      </c>
      <c r="K684" s="4" t="str">
        <f t="shared" si="40"/>
        <v>January</v>
      </c>
      <c r="L684">
        <f t="shared" si="41"/>
        <v>1</v>
      </c>
      <c r="M684" s="9">
        <f t="shared" si="42"/>
        <v>0.23827819370172312</v>
      </c>
      <c r="N684" s="9">
        <f t="shared" si="43"/>
        <v>7.7927180630739141E-4</v>
      </c>
    </row>
    <row r="685" spans="1:14" x14ac:dyDescent="0.35">
      <c r="A685" s="6">
        <v>45242</v>
      </c>
      <c r="B685" t="s">
        <v>9</v>
      </c>
      <c r="C685" t="s">
        <v>20</v>
      </c>
      <c r="D685" t="s">
        <v>25</v>
      </c>
      <c r="E685" t="s">
        <v>33</v>
      </c>
      <c r="F685" s="4">
        <v>6</v>
      </c>
      <c r="G685" s="4">
        <v>21054</v>
      </c>
      <c r="H685" s="4">
        <v>15172.21</v>
      </c>
      <c r="I685" s="8">
        <v>0</v>
      </c>
      <c r="J685" s="4">
        <v>5881.79</v>
      </c>
      <c r="K685" s="4" t="str">
        <f t="shared" si="40"/>
        <v>November</v>
      </c>
      <c r="L685">
        <f t="shared" si="41"/>
        <v>11</v>
      </c>
      <c r="M685" s="9">
        <f t="shared" si="42"/>
        <v>0.27936686615369999</v>
      </c>
      <c r="N685" s="9">
        <f t="shared" si="43"/>
        <v>1.9497074997024144E-4</v>
      </c>
    </row>
    <row r="686" spans="1:14" x14ac:dyDescent="0.35">
      <c r="A686" s="6">
        <v>45224</v>
      </c>
      <c r="B686" t="s">
        <v>10</v>
      </c>
      <c r="C686" t="s">
        <v>19</v>
      </c>
      <c r="D686" t="s">
        <v>26</v>
      </c>
      <c r="E686" t="s">
        <v>34</v>
      </c>
      <c r="F686" s="4">
        <v>4</v>
      </c>
      <c r="G686" s="4">
        <v>158144</v>
      </c>
      <c r="H686" s="4">
        <v>105326.54</v>
      </c>
      <c r="I686" s="8">
        <v>0.2</v>
      </c>
      <c r="J686" s="4">
        <v>52817.46</v>
      </c>
      <c r="K686" s="4" t="str">
        <f t="shared" si="40"/>
        <v>October</v>
      </c>
      <c r="L686">
        <f t="shared" si="41"/>
        <v>10</v>
      </c>
      <c r="M686" s="9">
        <f t="shared" si="42"/>
        <v>0.33398333164710642</v>
      </c>
      <c r="N686" s="9">
        <f t="shared" si="43"/>
        <v>1.4644938863538457E-3</v>
      </c>
    </row>
    <row r="687" spans="1:14" x14ac:dyDescent="0.35">
      <c r="A687" s="6">
        <v>45163</v>
      </c>
      <c r="B687" t="s">
        <v>11</v>
      </c>
      <c r="C687" t="s">
        <v>16</v>
      </c>
      <c r="D687" t="s">
        <v>27</v>
      </c>
      <c r="E687" t="s">
        <v>31</v>
      </c>
      <c r="F687" s="4">
        <v>1</v>
      </c>
      <c r="G687" s="4">
        <v>33610.400000000001</v>
      </c>
      <c r="H687" s="4">
        <v>23950.98</v>
      </c>
      <c r="I687" s="8">
        <v>0.2</v>
      </c>
      <c r="J687" s="4">
        <v>9659.42</v>
      </c>
      <c r="K687" s="4" t="str">
        <f t="shared" si="40"/>
        <v>August</v>
      </c>
      <c r="L687">
        <f t="shared" si="41"/>
        <v>8</v>
      </c>
      <c r="M687" s="9">
        <f t="shared" si="42"/>
        <v>0.28739378287672862</v>
      </c>
      <c r="N687" s="9">
        <f t="shared" si="43"/>
        <v>3.112494012919067E-4</v>
      </c>
    </row>
    <row r="688" spans="1:14" x14ac:dyDescent="0.35">
      <c r="A688" s="6">
        <v>45086</v>
      </c>
      <c r="B688" t="s">
        <v>10</v>
      </c>
      <c r="C688" t="s">
        <v>14</v>
      </c>
      <c r="D688" t="s">
        <v>26</v>
      </c>
      <c r="E688" t="s">
        <v>34</v>
      </c>
      <c r="F688" s="4">
        <v>3</v>
      </c>
      <c r="G688" s="4">
        <v>91434</v>
      </c>
      <c r="H688" s="4">
        <v>73076.55</v>
      </c>
      <c r="I688" s="8">
        <v>0</v>
      </c>
      <c r="J688" s="4">
        <v>18357.45</v>
      </c>
      <c r="K688" s="4" t="str">
        <f t="shared" si="40"/>
        <v>June</v>
      </c>
      <c r="L688">
        <f t="shared" si="41"/>
        <v>6</v>
      </c>
      <c r="M688" s="9">
        <f t="shared" si="42"/>
        <v>0.20077268849662053</v>
      </c>
      <c r="N688" s="9">
        <f t="shared" si="43"/>
        <v>8.4672535160915064E-4</v>
      </c>
    </row>
    <row r="689" spans="1:14" x14ac:dyDescent="0.35">
      <c r="A689" s="6">
        <v>45278</v>
      </c>
      <c r="B689" t="s">
        <v>10</v>
      </c>
      <c r="C689" t="s">
        <v>14</v>
      </c>
      <c r="D689" t="s">
        <v>28</v>
      </c>
      <c r="E689" t="s">
        <v>44</v>
      </c>
      <c r="F689" s="4">
        <v>1</v>
      </c>
      <c r="G689" s="4">
        <v>20488.650000000001</v>
      </c>
      <c r="H689" s="4">
        <v>11338.84</v>
      </c>
      <c r="I689" s="8">
        <v>0.05</v>
      </c>
      <c r="J689" s="4">
        <v>9149.81</v>
      </c>
      <c r="K689" s="4" t="str">
        <f t="shared" si="40"/>
        <v>December</v>
      </c>
      <c r="L689">
        <f t="shared" si="41"/>
        <v>12</v>
      </c>
      <c r="M689" s="9">
        <f t="shared" si="42"/>
        <v>0.44657944764540364</v>
      </c>
      <c r="N689" s="9">
        <f t="shared" si="43"/>
        <v>1.897353213820551E-4</v>
      </c>
    </row>
    <row r="690" spans="1:14" x14ac:dyDescent="0.35">
      <c r="A690" s="6">
        <v>45090</v>
      </c>
      <c r="B690" t="s">
        <v>12</v>
      </c>
      <c r="C690" t="s">
        <v>24</v>
      </c>
      <c r="D690" t="s">
        <v>26</v>
      </c>
      <c r="E690" t="s">
        <v>30</v>
      </c>
      <c r="F690" s="4">
        <v>7</v>
      </c>
      <c r="G690" s="4">
        <v>150899</v>
      </c>
      <c r="H690" s="4">
        <v>108377.44</v>
      </c>
      <c r="I690" s="8">
        <v>0</v>
      </c>
      <c r="J690" s="4">
        <v>42521.56</v>
      </c>
      <c r="K690" s="4" t="str">
        <f t="shared" si="40"/>
        <v>June</v>
      </c>
      <c r="L690">
        <f t="shared" si="41"/>
        <v>6</v>
      </c>
      <c r="M690" s="9">
        <f t="shared" si="42"/>
        <v>0.28178821595901893</v>
      </c>
      <c r="N690" s="9">
        <f t="shared" si="43"/>
        <v>1.3974015008910168E-3</v>
      </c>
    </row>
    <row r="691" spans="1:14" x14ac:dyDescent="0.35">
      <c r="A691" s="6">
        <v>44938</v>
      </c>
      <c r="B691" t="s">
        <v>11</v>
      </c>
      <c r="C691" t="s">
        <v>18</v>
      </c>
      <c r="D691" t="s">
        <v>25</v>
      </c>
      <c r="E691" t="s">
        <v>32</v>
      </c>
      <c r="F691" s="4">
        <v>7</v>
      </c>
      <c r="G691" s="4">
        <v>37885.050000000003</v>
      </c>
      <c r="H691" s="4">
        <v>21314.29</v>
      </c>
      <c r="I691" s="8">
        <v>0.05</v>
      </c>
      <c r="J691" s="4">
        <v>16570.759999999998</v>
      </c>
      <c r="K691" s="4" t="str">
        <f t="shared" si="40"/>
        <v>January</v>
      </c>
      <c r="L691">
        <f t="shared" si="41"/>
        <v>1</v>
      </c>
      <c r="M691" s="9">
        <f t="shared" si="42"/>
        <v>0.43739575373399264</v>
      </c>
      <c r="N691" s="9">
        <f t="shared" si="43"/>
        <v>3.5083483476584478E-4</v>
      </c>
    </row>
    <row r="692" spans="1:14" x14ac:dyDescent="0.35">
      <c r="A692" s="6">
        <v>45088</v>
      </c>
      <c r="B692" t="s">
        <v>12</v>
      </c>
      <c r="C692" t="s">
        <v>23</v>
      </c>
      <c r="D692" t="s">
        <v>25</v>
      </c>
      <c r="E692" t="s">
        <v>37</v>
      </c>
      <c r="F692" s="4">
        <v>5</v>
      </c>
      <c r="G692" s="4">
        <v>78212</v>
      </c>
      <c r="H692" s="4">
        <v>54766.23</v>
      </c>
      <c r="I692" s="8">
        <v>0.2</v>
      </c>
      <c r="J692" s="4">
        <v>23445.77</v>
      </c>
      <c r="K692" s="4" t="str">
        <f t="shared" si="40"/>
        <v>June</v>
      </c>
      <c r="L692">
        <f t="shared" si="41"/>
        <v>6</v>
      </c>
      <c r="M692" s="9">
        <f t="shared" si="42"/>
        <v>0.29977202986753954</v>
      </c>
      <c r="N692" s="9">
        <f t="shared" si="43"/>
        <v>7.242829057030742E-4</v>
      </c>
    </row>
    <row r="693" spans="1:14" x14ac:dyDescent="0.35">
      <c r="A693" s="6">
        <v>45143</v>
      </c>
      <c r="B693" t="s">
        <v>11</v>
      </c>
      <c r="C693" t="s">
        <v>18</v>
      </c>
      <c r="D693" t="s">
        <v>26</v>
      </c>
      <c r="E693" t="s">
        <v>34</v>
      </c>
      <c r="F693" s="4">
        <v>6</v>
      </c>
      <c r="G693" s="4">
        <v>68308.800000000003</v>
      </c>
      <c r="H693" s="4">
        <v>52943.83</v>
      </c>
      <c r="I693" s="8">
        <v>0.2</v>
      </c>
      <c r="J693" s="4">
        <v>15364.97</v>
      </c>
      <c r="K693" s="4" t="str">
        <f t="shared" si="40"/>
        <v>August</v>
      </c>
      <c r="L693">
        <f t="shared" si="41"/>
        <v>8</v>
      </c>
      <c r="M693" s="9">
        <f t="shared" si="42"/>
        <v>0.22493397629587986</v>
      </c>
      <c r="N693" s="9">
        <f t="shared" si="43"/>
        <v>6.3257423603910092E-4</v>
      </c>
    </row>
    <row r="694" spans="1:14" x14ac:dyDescent="0.35">
      <c r="A694" s="6">
        <v>45291</v>
      </c>
      <c r="B694" t="s">
        <v>11</v>
      </c>
      <c r="C694" t="s">
        <v>16</v>
      </c>
      <c r="D694" t="s">
        <v>27</v>
      </c>
      <c r="E694" t="s">
        <v>31</v>
      </c>
      <c r="F694" s="4">
        <v>4</v>
      </c>
      <c r="G694" s="4">
        <v>29509.200000000001</v>
      </c>
      <c r="H694" s="4">
        <v>18101.21</v>
      </c>
      <c r="I694" s="8">
        <v>0.1</v>
      </c>
      <c r="J694" s="4">
        <v>11407.99</v>
      </c>
      <c r="K694" s="4" t="str">
        <f t="shared" si="40"/>
        <v>December</v>
      </c>
      <c r="L694">
        <f t="shared" si="41"/>
        <v>12</v>
      </c>
      <c r="M694" s="9">
        <f t="shared" si="42"/>
        <v>0.38659096146286581</v>
      </c>
      <c r="N694" s="9">
        <f t="shared" si="43"/>
        <v>2.7327020305033955E-4</v>
      </c>
    </row>
    <row r="695" spans="1:14" x14ac:dyDescent="0.35">
      <c r="A695" s="6">
        <v>45013</v>
      </c>
      <c r="B695" t="s">
        <v>9</v>
      </c>
      <c r="C695" t="s">
        <v>15</v>
      </c>
      <c r="D695" t="s">
        <v>27</v>
      </c>
      <c r="E695" t="s">
        <v>31</v>
      </c>
      <c r="F695" s="4">
        <v>5</v>
      </c>
      <c r="G695" s="4">
        <v>25844.25</v>
      </c>
      <c r="H695" s="4">
        <v>16304.69</v>
      </c>
      <c r="I695" s="8">
        <v>0.15</v>
      </c>
      <c r="J695" s="4">
        <v>9539.56</v>
      </c>
      <c r="K695" s="4" t="str">
        <f t="shared" si="40"/>
        <v>March</v>
      </c>
      <c r="L695">
        <f t="shared" si="41"/>
        <v>3</v>
      </c>
      <c r="M695" s="9">
        <f t="shared" si="42"/>
        <v>0.3691173084922178</v>
      </c>
      <c r="N695" s="9">
        <f t="shared" si="43"/>
        <v>2.3933090172501248E-4</v>
      </c>
    </row>
    <row r="696" spans="1:14" x14ac:dyDescent="0.35">
      <c r="A696" s="6">
        <v>45035</v>
      </c>
      <c r="B696" t="s">
        <v>10</v>
      </c>
      <c r="C696" t="s">
        <v>14</v>
      </c>
      <c r="D696" t="s">
        <v>25</v>
      </c>
      <c r="E696" t="s">
        <v>32</v>
      </c>
      <c r="F696" s="4">
        <v>7</v>
      </c>
      <c r="G696" s="4">
        <v>153248.20000000001</v>
      </c>
      <c r="H696" s="4">
        <v>109181.22</v>
      </c>
      <c r="I696" s="8">
        <v>0.15</v>
      </c>
      <c r="J696" s="4">
        <v>44066.98</v>
      </c>
      <c r="K696" s="4" t="str">
        <f t="shared" si="40"/>
        <v>April</v>
      </c>
      <c r="L696">
        <f t="shared" si="41"/>
        <v>4</v>
      </c>
      <c r="M696" s="9">
        <f t="shared" si="42"/>
        <v>0.2875530022538601</v>
      </c>
      <c r="N696" s="9">
        <f t="shared" si="43"/>
        <v>1.4191562879067902E-3</v>
      </c>
    </row>
    <row r="697" spans="1:14" x14ac:dyDescent="0.35">
      <c r="A697" s="6">
        <v>45213</v>
      </c>
      <c r="B697" t="s">
        <v>9</v>
      </c>
      <c r="C697" t="s">
        <v>15</v>
      </c>
      <c r="D697" t="s">
        <v>26</v>
      </c>
      <c r="E697" t="s">
        <v>30</v>
      </c>
      <c r="F697" s="4">
        <v>3</v>
      </c>
      <c r="G697" s="4">
        <v>7433.1</v>
      </c>
      <c r="H697" s="4">
        <v>4088.26</v>
      </c>
      <c r="I697" s="8">
        <v>0.1</v>
      </c>
      <c r="J697" s="4">
        <v>3344.84</v>
      </c>
      <c r="K697" s="4" t="str">
        <f t="shared" si="40"/>
        <v>October</v>
      </c>
      <c r="L697">
        <f t="shared" si="41"/>
        <v>10</v>
      </c>
      <c r="M697" s="9">
        <f t="shared" si="42"/>
        <v>0.44999260066459484</v>
      </c>
      <c r="N697" s="9">
        <f t="shared" si="43"/>
        <v>6.8834287147515996E-5</v>
      </c>
    </row>
    <row r="698" spans="1:14" x14ac:dyDescent="0.35">
      <c r="A698" s="6">
        <v>45217</v>
      </c>
      <c r="B698" t="s">
        <v>9</v>
      </c>
      <c r="C698" t="s">
        <v>13</v>
      </c>
      <c r="D698" t="s">
        <v>26</v>
      </c>
      <c r="E698" t="s">
        <v>35</v>
      </c>
      <c r="F698" s="4">
        <v>6</v>
      </c>
      <c r="G698" s="4">
        <v>80683.199999999997</v>
      </c>
      <c r="H698" s="4">
        <v>63691.96</v>
      </c>
      <c r="I698" s="8">
        <v>0.2</v>
      </c>
      <c r="J698" s="4">
        <v>16991.240000000002</v>
      </c>
      <c r="K698" s="4" t="str">
        <f t="shared" si="40"/>
        <v>October</v>
      </c>
      <c r="L698">
        <f t="shared" si="41"/>
        <v>10</v>
      </c>
      <c r="M698" s="9">
        <f t="shared" si="42"/>
        <v>0.21059204394471218</v>
      </c>
      <c r="N698" s="9">
        <f t="shared" si="43"/>
        <v>7.4716747477909112E-4</v>
      </c>
    </row>
    <row r="699" spans="1:14" x14ac:dyDescent="0.35">
      <c r="A699" s="6">
        <v>45145</v>
      </c>
      <c r="B699" t="s">
        <v>12</v>
      </c>
      <c r="C699" t="s">
        <v>23</v>
      </c>
      <c r="D699" t="s">
        <v>27</v>
      </c>
      <c r="E699" t="s">
        <v>41</v>
      </c>
      <c r="F699" s="4">
        <v>7</v>
      </c>
      <c r="G699" s="4">
        <v>272929.3</v>
      </c>
      <c r="H699" s="4">
        <v>191537.37</v>
      </c>
      <c r="I699" s="8">
        <v>0.05</v>
      </c>
      <c r="J699" s="4">
        <v>81391.929999999993</v>
      </c>
      <c r="K699" s="4" t="str">
        <f t="shared" si="40"/>
        <v>August</v>
      </c>
      <c r="L699">
        <f t="shared" si="41"/>
        <v>8</v>
      </c>
      <c r="M699" s="9">
        <f t="shared" si="42"/>
        <v>0.29821616806989942</v>
      </c>
      <c r="N699" s="9">
        <f t="shared" si="43"/>
        <v>2.5274641545479726E-3</v>
      </c>
    </row>
    <row r="700" spans="1:14" x14ac:dyDescent="0.35">
      <c r="A700" s="6">
        <v>44980</v>
      </c>
      <c r="B700" t="s">
        <v>12</v>
      </c>
      <c r="C700" t="s">
        <v>21</v>
      </c>
      <c r="D700" t="s">
        <v>27</v>
      </c>
      <c r="E700" t="s">
        <v>31</v>
      </c>
      <c r="F700" s="4">
        <v>4</v>
      </c>
      <c r="G700" s="4">
        <v>170762.4</v>
      </c>
      <c r="H700" s="4">
        <v>129340.69</v>
      </c>
      <c r="I700" s="8">
        <v>0.1</v>
      </c>
      <c r="J700" s="4">
        <v>41421.71</v>
      </c>
      <c r="K700" s="4" t="str">
        <f t="shared" si="40"/>
        <v>February</v>
      </c>
      <c r="L700">
        <f t="shared" si="41"/>
        <v>2</v>
      </c>
      <c r="M700" s="9">
        <f t="shared" si="42"/>
        <v>0.24256926583369642</v>
      </c>
      <c r="N700" s="9">
        <f t="shared" si="43"/>
        <v>1.5813466892143232E-3</v>
      </c>
    </row>
    <row r="701" spans="1:14" x14ac:dyDescent="0.35">
      <c r="A701" s="6">
        <v>45119</v>
      </c>
      <c r="B701" t="s">
        <v>11</v>
      </c>
      <c r="C701" t="s">
        <v>17</v>
      </c>
      <c r="D701" t="s">
        <v>27</v>
      </c>
      <c r="E701" t="s">
        <v>41</v>
      </c>
      <c r="F701" s="4">
        <v>2</v>
      </c>
      <c r="G701" s="4">
        <v>5535</v>
      </c>
      <c r="H701" s="4">
        <v>4277.6099999999997</v>
      </c>
      <c r="I701" s="8">
        <v>0.1</v>
      </c>
      <c r="J701" s="4">
        <v>1257.3900000000001</v>
      </c>
      <c r="K701" s="4" t="str">
        <f t="shared" si="40"/>
        <v>July</v>
      </c>
      <c r="L701">
        <f t="shared" si="41"/>
        <v>7</v>
      </c>
      <c r="M701" s="9">
        <f t="shared" si="42"/>
        <v>0.22717073170731708</v>
      </c>
      <c r="N701" s="9">
        <f t="shared" si="43"/>
        <v>5.1256915602036976E-5</v>
      </c>
    </row>
    <row r="702" spans="1:14" x14ac:dyDescent="0.35">
      <c r="A702" s="6">
        <v>45252</v>
      </c>
      <c r="B702" t="s">
        <v>9</v>
      </c>
      <c r="C702" t="s">
        <v>20</v>
      </c>
      <c r="D702" t="s">
        <v>27</v>
      </c>
      <c r="E702" t="s">
        <v>40</v>
      </c>
      <c r="F702" s="4">
        <v>1</v>
      </c>
      <c r="G702" s="4">
        <v>37274.199999999997</v>
      </c>
      <c r="H702" s="4">
        <v>26767.599999999999</v>
      </c>
      <c r="I702" s="8">
        <v>0.05</v>
      </c>
      <c r="J702" s="4">
        <v>10506.6</v>
      </c>
      <c r="K702" s="4" t="str">
        <f t="shared" si="40"/>
        <v>November</v>
      </c>
      <c r="L702">
        <f t="shared" si="41"/>
        <v>11</v>
      </c>
      <c r="M702" s="9">
        <f t="shared" si="42"/>
        <v>0.28187325281293768</v>
      </c>
      <c r="N702" s="9">
        <f t="shared" si="43"/>
        <v>3.4517805303223965E-4</v>
      </c>
    </row>
    <row r="703" spans="1:14" x14ac:dyDescent="0.35">
      <c r="A703" s="6">
        <v>45290</v>
      </c>
      <c r="B703" t="s">
        <v>11</v>
      </c>
      <c r="C703" t="s">
        <v>16</v>
      </c>
      <c r="D703" t="s">
        <v>26</v>
      </c>
      <c r="E703" t="s">
        <v>35</v>
      </c>
      <c r="F703" s="4">
        <v>1</v>
      </c>
      <c r="G703" s="4">
        <v>40573.9</v>
      </c>
      <c r="H703" s="4">
        <v>23617.32</v>
      </c>
      <c r="I703" s="8">
        <v>0.15</v>
      </c>
      <c r="J703" s="4">
        <v>16956.580000000002</v>
      </c>
      <c r="K703" s="4" t="str">
        <f t="shared" si="40"/>
        <v>December</v>
      </c>
      <c r="L703">
        <f t="shared" si="41"/>
        <v>12</v>
      </c>
      <c r="M703" s="9">
        <f t="shared" si="42"/>
        <v>0.4179184155331383</v>
      </c>
      <c r="N703" s="9">
        <f t="shared" si="43"/>
        <v>3.7573495355835377E-4</v>
      </c>
    </row>
    <row r="704" spans="1:14" x14ac:dyDescent="0.35">
      <c r="A704" s="6">
        <v>45028</v>
      </c>
      <c r="B704" t="s">
        <v>11</v>
      </c>
      <c r="C704" t="s">
        <v>16</v>
      </c>
      <c r="D704" t="s">
        <v>26</v>
      </c>
      <c r="E704" t="s">
        <v>43</v>
      </c>
      <c r="F704" s="4">
        <v>7</v>
      </c>
      <c r="G704" s="4">
        <v>298311.3</v>
      </c>
      <c r="H704" s="4">
        <v>201357.07</v>
      </c>
      <c r="I704" s="8">
        <v>0.1</v>
      </c>
      <c r="J704" s="4">
        <v>96954.23</v>
      </c>
      <c r="K704" s="4" t="str">
        <f t="shared" si="40"/>
        <v>April</v>
      </c>
      <c r="L704">
        <f t="shared" si="41"/>
        <v>4</v>
      </c>
      <c r="M704" s="9">
        <f t="shared" si="42"/>
        <v>0.32501024936031586</v>
      </c>
      <c r="N704" s="9">
        <f t="shared" si="43"/>
        <v>2.7625143861307916E-3</v>
      </c>
    </row>
    <row r="705" spans="1:14" x14ac:dyDescent="0.35">
      <c r="A705" s="6">
        <v>44978</v>
      </c>
      <c r="B705" t="s">
        <v>9</v>
      </c>
      <c r="C705" t="s">
        <v>13</v>
      </c>
      <c r="D705" t="s">
        <v>25</v>
      </c>
      <c r="E705" t="s">
        <v>33</v>
      </c>
      <c r="F705" s="4">
        <v>5</v>
      </c>
      <c r="G705" s="4">
        <v>197995</v>
      </c>
      <c r="H705" s="4">
        <v>122981.69</v>
      </c>
      <c r="I705" s="8">
        <v>0</v>
      </c>
      <c r="J705" s="4">
        <v>75013.31</v>
      </c>
      <c r="K705" s="4" t="str">
        <f t="shared" si="40"/>
        <v>February</v>
      </c>
      <c r="L705">
        <f t="shared" si="41"/>
        <v>2</v>
      </c>
      <c r="M705" s="9">
        <f t="shared" si="42"/>
        <v>0.3788646682997045</v>
      </c>
      <c r="N705" s="9">
        <f t="shared" si="43"/>
        <v>1.8335344181798212E-3</v>
      </c>
    </row>
    <row r="706" spans="1:14" x14ac:dyDescent="0.35">
      <c r="A706" s="6">
        <v>45272</v>
      </c>
      <c r="B706" t="s">
        <v>9</v>
      </c>
      <c r="C706" t="s">
        <v>13</v>
      </c>
      <c r="D706" t="s">
        <v>27</v>
      </c>
      <c r="E706" t="s">
        <v>41</v>
      </c>
      <c r="F706" s="4">
        <v>3</v>
      </c>
      <c r="G706" s="4">
        <v>27922.5</v>
      </c>
      <c r="H706" s="4">
        <v>19204.060000000001</v>
      </c>
      <c r="I706" s="8">
        <v>0.15</v>
      </c>
      <c r="J706" s="4">
        <v>8718.44</v>
      </c>
      <c r="K706" s="4" t="str">
        <f t="shared" si="40"/>
        <v>December</v>
      </c>
      <c r="L706">
        <f t="shared" si="41"/>
        <v>12</v>
      </c>
      <c r="M706" s="9">
        <f t="shared" si="42"/>
        <v>0.31223708478825324</v>
      </c>
      <c r="N706" s="9">
        <f t="shared" si="43"/>
        <v>2.5857655391108898E-4</v>
      </c>
    </row>
    <row r="707" spans="1:14" x14ac:dyDescent="0.35">
      <c r="A707" s="6">
        <v>45137</v>
      </c>
      <c r="B707" t="s">
        <v>11</v>
      </c>
      <c r="C707" t="s">
        <v>17</v>
      </c>
      <c r="D707" t="s">
        <v>28</v>
      </c>
      <c r="E707" t="s">
        <v>42</v>
      </c>
      <c r="F707" s="4">
        <v>3</v>
      </c>
      <c r="G707" s="4">
        <v>102573</v>
      </c>
      <c r="H707" s="4">
        <v>58621.29</v>
      </c>
      <c r="I707" s="8">
        <v>0</v>
      </c>
      <c r="J707" s="4">
        <v>43951.71</v>
      </c>
      <c r="K707" s="4" t="str">
        <f t="shared" ref="K707:K770" si="44">TEXT(A707,"mmmm")</f>
        <v>July</v>
      </c>
      <c r="L707">
        <f t="shared" ref="L707:L770" si="45">MONTH(A707)</f>
        <v>7</v>
      </c>
      <c r="M707" s="9">
        <f t="shared" ref="M707:M770" si="46">J707/G707</f>
        <v>0.42849200081892896</v>
      </c>
      <c r="N707" s="9">
        <f t="shared" ref="N707:N770" si="47">G707/SUM(G:G)</f>
        <v>9.4987815791287053E-4</v>
      </c>
    </row>
    <row r="708" spans="1:14" x14ac:dyDescent="0.35">
      <c r="A708" s="6">
        <v>44937</v>
      </c>
      <c r="B708" t="s">
        <v>11</v>
      </c>
      <c r="C708" t="s">
        <v>17</v>
      </c>
      <c r="D708" t="s">
        <v>25</v>
      </c>
      <c r="E708" t="s">
        <v>37</v>
      </c>
      <c r="F708" s="4">
        <v>7</v>
      </c>
      <c r="G708" s="4">
        <v>80350.2</v>
      </c>
      <c r="H708" s="4">
        <v>57003.93</v>
      </c>
      <c r="I708" s="8">
        <v>0.1</v>
      </c>
      <c r="J708" s="4">
        <v>23346.27</v>
      </c>
      <c r="K708" s="4" t="str">
        <f t="shared" si="44"/>
        <v>January</v>
      </c>
      <c r="L708">
        <f t="shared" si="45"/>
        <v>1</v>
      </c>
      <c r="M708" s="9">
        <f t="shared" si="46"/>
        <v>0.29055646407849639</v>
      </c>
      <c r="N708" s="9">
        <f t="shared" si="47"/>
        <v>7.4408372538514744E-4</v>
      </c>
    </row>
    <row r="709" spans="1:14" x14ac:dyDescent="0.35">
      <c r="A709" s="6">
        <v>45146</v>
      </c>
      <c r="B709" t="s">
        <v>10</v>
      </c>
      <c r="C709" t="s">
        <v>19</v>
      </c>
      <c r="D709" t="s">
        <v>25</v>
      </c>
      <c r="E709" t="s">
        <v>29</v>
      </c>
      <c r="F709" s="4">
        <v>6</v>
      </c>
      <c r="G709" s="4">
        <v>174465.9</v>
      </c>
      <c r="H709" s="4">
        <v>109380.13</v>
      </c>
      <c r="I709" s="8">
        <v>0.15</v>
      </c>
      <c r="J709" s="4">
        <v>65085.77</v>
      </c>
      <c r="K709" s="4" t="str">
        <f t="shared" si="44"/>
        <v>August</v>
      </c>
      <c r="L709">
        <f t="shared" si="45"/>
        <v>8</v>
      </c>
      <c r="M709" s="9">
        <f t="shared" si="46"/>
        <v>0.37305725646100468</v>
      </c>
      <c r="N709" s="9">
        <f t="shared" si="47"/>
        <v>1.6156429831496698E-3</v>
      </c>
    </row>
    <row r="710" spans="1:14" x14ac:dyDescent="0.35">
      <c r="A710" s="6">
        <v>45250</v>
      </c>
      <c r="B710" t="s">
        <v>12</v>
      </c>
      <c r="C710" t="s">
        <v>21</v>
      </c>
      <c r="D710" t="s">
        <v>26</v>
      </c>
      <c r="E710" t="s">
        <v>30</v>
      </c>
      <c r="F710" s="4">
        <v>3</v>
      </c>
      <c r="G710" s="4">
        <v>84431.7</v>
      </c>
      <c r="H710" s="4">
        <v>65597.850000000006</v>
      </c>
      <c r="I710" s="8">
        <v>0.1</v>
      </c>
      <c r="J710" s="4">
        <v>18833.849999999999</v>
      </c>
      <c r="K710" s="4" t="str">
        <f t="shared" si="44"/>
        <v>November</v>
      </c>
      <c r="L710">
        <f t="shared" si="45"/>
        <v>11</v>
      </c>
      <c r="M710" s="9">
        <f t="shared" si="46"/>
        <v>0.22306609958108151</v>
      </c>
      <c r="N710" s="9">
        <f t="shared" si="47"/>
        <v>7.8188049160551128E-4</v>
      </c>
    </row>
    <row r="711" spans="1:14" x14ac:dyDescent="0.35">
      <c r="A711" s="6">
        <v>44972</v>
      </c>
      <c r="B711" t="s">
        <v>12</v>
      </c>
      <c r="C711" t="s">
        <v>24</v>
      </c>
      <c r="D711" t="s">
        <v>28</v>
      </c>
      <c r="E711" t="s">
        <v>36</v>
      </c>
      <c r="F711" s="4">
        <v>4</v>
      </c>
      <c r="G711" s="4">
        <v>148946.4</v>
      </c>
      <c r="H711" s="4">
        <v>115855.69</v>
      </c>
      <c r="I711" s="8">
        <v>0.1</v>
      </c>
      <c r="J711" s="4">
        <v>33090.71</v>
      </c>
      <c r="K711" s="4" t="str">
        <f t="shared" si="44"/>
        <v>February</v>
      </c>
      <c r="L711">
        <f t="shared" si="45"/>
        <v>2</v>
      </c>
      <c r="M711" s="9">
        <f t="shared" si="46"/>
        <v>0.2221652218516191</v>
      </c>
      <c r="N711" s="9">
        <f t="shared" si="47"/>
        <v>1.3793194316219042E-3</v>
      </c>
    </row>
    <row r="712" spans="1:14" x14ac:dyDescent="0.35">
      <c r="A712" s="6">
        <v>45186</v>
      </c>
      <c r="B712" t="s">
        <v>12</v>
      </c>
      <c r="C712" t="s">
        <v>23</v>
      </c>
      <c r="D712" t="s">
        <v>27</v>
      </c>
      <c r="E712" t="s">
        <v>38</v>
      </c>
      <c r="F712" s="4">
        <v>5</v>
      </c>
      <c r="G712" s="4">
        <v>105485</v>
      </c>
      <c r="H712" s="4">
        <v>83505.820000000007</v>
      </c>
      <c r="I712" s="8">
        <v>0</v>
      </c>
      <c r="J712" s="4">
        <v>21979.18</v>
      </c>
      <c r="K712" s="4" t="str">
        <f t="shared" si="44"/>
        <v>September</v>
      </c>
      <c r="L712">
        <f t="shared" si="45"/>
        <v>9</v>
      </c>
      <c r="M712" s="9">
        <f t="shared" si="46"/>
        <v>0.20836308479878657</v>
      </c>
      <c r="N712" s="9">
        <f t="shared" si="47"/>
        <v>9.7684475921966949E-4</v>
      </c>
    </row>
    <row r="713" spans="1:14" x14ac:dyDescent="0.35">
      <c r="A713" s="6">
        <v>45141</v>
      </c>
      <c r="B713" t="s">
        <v>9</v>
      </c>
      <c r="C713" t="s">
        <v>13</v>
      </c>
      <c r="D713" t="s">
        <v>25</v>
      </c>
      <c r="E713" t="s">
        <v>32</v>
      </c>
      <c r="F713" s="4">
        <v>2</v>
      </c>
      <c r="G713" s="4">
        <v>19145.400000000001</v>
      </c>
      <c r="H713" s="4">
        <v>15003.91</v>
      </c>
      <c r="I713" s="8">
        <v>0.15</v>
      </c>
      <c r="J713" s="4">
        <v>4141.49</v>
      </c>
      <c r="K713" s="4" t="str">
        <f t="shared" si="44"/>
        <v>August</v>
      </c>
      <c r="L713">
        <f t="shared" si="45"/>
        <v>8</v>
      </c>
      <c r="M713" s="9">
        <f t="shared" si="46"/>
        <v>0.21631775779038304</v>
      </c>
      <c r="N713" s="9">
        <f t="shared" si="47"/>
        <v>1.7729614308351196E-4</v>
      </c>
    </row>
    <row r="714" spans="1:14" x14ac:dyDescent="0.35">
      <c r="A714" s="6">
        <v>44980</v>
      </c>
      <c r="B714" t="s">
        <v>12</v>
      </c>
      <c r="C714" t="s">
        <v>21</v>
      </c>
      <c r="D714" t="s">
        <v>28</v>
      </c>
      <c r="E714" t="s">
        <v>44</v>
      </c>
      <c r="F714" s="4">
        <v>3</v>
      </c>
      <c r="G714" s="4">
        <v>94758</v>
      </c>
      <c r="H714" s="4">
        <v>61067.72</v>
      </c>
      <c r="I714" s="8">
        <v>0</v>
      </c>
      <c r="J714" s="4">
        <v>33690.28</v>
      </c>
      <c r="K714" s="4" t="str">
        <f t="shared" si="44"/>
        <v>February</v>
      </c>
      <c r="L714">
        <f t="shared" si="45"/>
        <v>2</v>
      </c>
      <c r="M714" s="9">
        <f t="shared" si="46"/>
        <v>0.35554021824014859</v>
      </c>
      <c r="N714" s="9">
        <f t="shared" si="47"/>
        <v>8.7750728249644434E-4</v>
      </c>
    </row>
    <row r="715" spans="1:14" x14ac:dyDescent="0.35">
      <c r="A715" s="6">
        <v>45134</v>
      </c>
      <c r="B715" t="s">
        <v>12</v>
      </c>
      <c r="C715" t="s">
        <v>21</v>
      </c>
      <c r="D715" t="s">
        <v>27</v>
      </c>
      <c r="E715" t="s">
        <v>31</v>
      </c>
      <c r="F715" s="4">
        <v>6</v>
      </c>
      <c r="G715" s="4">
        <v>188118.6</v>
      </c>
      <c r="H715" s="4">
        <v>150389.03</v>
      </c>
      <c r="I715" s="8">
        <v>0.15</v>
      </c>
      <c r="J715" s="4">
        <v>37729.57</v>
      </c>
      <c r="K715" s="4" t="str">
        <f t="shared" si="44"/>
        <v>July</v>
      </c>
      <c r="L715">
        <f t="shared" si="45"/>
        <v>7</v>
      </c>
      <c r="M715" s="9">
        <f t="shared" si="46"/>
        <v>0.20056267694954139</v>
      </c>
      <c r="N715" s="9">
        <f t="shared" si="47"/>
        <v>1.7420739301487538E-3</v>
      </c>
    </row>
    <row r="716" spans="1:14" x14ac:dyDescent="0.35">
      <c r="A716" s="6">
        <v>45032</v>
      </c>
      <c r="B716" t="s">
        <v>10</v>
      </c>
      <c r="C716" t="s">
        <v>19</v>
      </c>
      <c r="D716" t="s">
        <v>26</v>
      </c>
      <c r="E716" t="s">
        <v>43</v>
      </c>
      <c r="F716" s="4">
        <v>5</v>
      </c>
      <c r="G716" s="4">
        <v>74570</v>
      </c>
      <c r="H716" s="4">
        <v>48746.89</v>
      </c>
      <c r="I716" s="8">
        <v>0</v>
      </c>
      <c r="J716" s="4">
        <v>25823.11</v>
      </c>
      <c r="K716" s="4" t="str">
        <f t="shared" si="44"/>
        <v>April</v>
      </c>
      <c r="L716">
        <f t="shared" si="45"/>
        <v>4</v>
      </c>
      <c r="M716" s="9">
        <f t="shared" si="46"/>
        <v>0.34629354968485987</v>
      </c>
      <c r="N716" s="9">
        <f t="shared" si="47"/>
        <v>6.9055613305219463E-4</v>
      </c>
    </row>
    <row r="717" spans="1:14" x14ac:dyDescent="0.35">
      <c r="A717" s="6">
        <v>45013</v>
      </c>
      <c r="B717" t="s">
        <v>9</v>
      </c>
      <c r="C717" t="s">
        <v>15</v>
      </c>
      <c r="D717" t="s">
        <v>27</v>
      </c>
      <c r="E717" t="s">
        <v>31</v>
      </c>
      <c r="F717" s="4">
        <v>6</v>
      </c>
      <c r="G717" s="4">
        <v>237707.1</v>
      </c>
      <c r="H717" s="4">
        <v>134390.46</v>
      </c>
      <c r="I717" s="8">
        <v>0.05</v>
      </c>
      <c r="J717" s="4">
        <v>103316.64</v>
      </c>
      <c r="K717" s="4" t="str">
        <f t="shared" si="44"/>
        <v>March</v>
      </c>
      <c r="L717">
        <f t="shared" si="45"/>
        <v>3</v>
      </c>
      <c r="M717" s="9">
        <f t="shared" si="46"/>
        <v>0.43463842687071608</v>
      </c>
      <c r="N717" s="9">
        <f t="shared" si="47"/>
        <v>2.2012886653486837E-3</v>
      </c>
    </row>
    <row r="718" spans="1:14" x14ac:dyDescent="0.35">
      <c r="A718" s="6">
        <v>45064</v>
      </c>
      <c r="B718" t="s">
        <v>12</v>
      </c>
      <c r="C718" t="s">
        <v>24</v>
      </c>
      <c r="D718" t="s">
        <v>25</v>
      </c>
      <c r="E718" t="s">
        <v>32</v>
      </c>
      <c r="F718" s="4">
        <v>1</v>
      </c>
      <c r="G718" s="4">
        <v>28869</v>
      </c>
      <c r="H718" s="4">
        <v>16970.87</v>
      </c>
      <c r="I718" s="8">
        <v>0</v>
      </c>
      <c r="J718" s="4">
        <v>11898.13</v>
      </c>
      <c r="K718" s="4" t="str">
        <f t="shared" si="44"/>
        <v>May</v>
      </c>
      <c r="L718">
        <f t="shared" si="45"/>
        <v>5</v>
      </c>
      <c r="M718" s="9">
        <f t="shared" si="46"/>
        <v>0.41214209013128267</v>
      </c>
      <c r="N718" s="9">
        <f t="shared" si="47"/>
        <v>2.6734162538666762E-4</v>
      </c>
    </row>
    <row r="719" spans="1:14" x14ac:dyDescent="0.35">
      <c r="A719" s="6">
        <v>44927</v>
      </c>
      <c r="B719" t="s">
        <v>12</v>
      </c>
      <c r="C719" t="s">
        <v>21</v>
      </c>
      <c r="D719" t="s">
        <v>26</v>
      </c>
      <c r="E719" t="s">
        <v>43</v>
      </c>
      <c r="F719" s="4">
        <v>2</v>
      </c>
      <c r="G719" s="4">
        <v>24352.2</v>
      </c>
      <c r="H719" s="4">
        <v>15451.98</v>
      </c>
      <c r="I719" s="8">
        <v>0.1</v>
      </c>
      <c r="J719" s="4">
        <v>8900.2199999999993</v>
      </c>
      <c r="K719" s="4" t="str">
        <f t="shared" si="44"/>
        <v>January</v>
      </c>
      <c r="L719">
        <f t="shared" si="45"/>
        <v>1</v>
      </c>
      <c r="M719" s="9">
        <f t="shared" si="46"/>
        <v>0.36547909429127551</v>
      </c>
      <c r="N719" s="9">
        <f t="shared" si="47"/>
        <v>2.2551375973331976E-4</v>
      </c>
    </row>
    <row r="720" spans="1:14" x14ac:dyDescent="0.35">
      <c r="A720" s="6">
        <v>45144</v>
      </c>
      <c r="B720" t="s">
        <v>11</v>
      </c>
      <c r="C720" t="s">
        <v>16</v>
      </c>
      <c r="D720" t="s">
        <v>26</v>
      </c>
      <c r="E720" t="s">
        <v>34</v>
      </c>
      <c r="F720" s="4">
        <v>4</v>
      </c>
      <c r="G720" s="4">
        <v>88359.2</v>
      </c>
      <c r="H720" s="4">
        <v>53210.59</v>
      </c>
      <c r="I720" s="8">
        <v>0.15</v>
      </c>
      <c r="J720" s="4">
        <v>35148.61</v>
      </c>
      <c r="K720" s="4" t="str">
        <f t="shared" si="44"/>
        <v>August</v>
      </c>
      <c r="L720">
        <f t="shared" si="45"/>
        <v>8</v>
      </c>
      <c r="M720" s="9">
        <f t="shared" si="46"/>
        <v>0.39779230685655825</v>
      </c>
      <c r="N720" s="9">
        <f t="shared" si="47"/>
        <v>8.1825113948753479E-4</v>
      </c>
    </row>
    <row r="721" spans="1:14" x14ac:dyDescent="0.35">
      <c r="A721" s="6">
        <v>45179</v>
      </c>
      <c r="B721" t="s">
        <v>11</v>
      </c>
      <c r="C721" t="s">
        <v>16</v>
      </c>
      <c r="D721" t="s">
        <v>25</v>
      </c>
      <c r="E721" t="s">
        <v>32</v>
      </c>
      <c r="F721" s="4">
        <v>2</v>
      </c>
      <c r="G721" s="4">
        <v>73619.199999999997</v>
      </c>
      <c r="H721" s="4">
        <v>51109.79</v>
      </c>
      <c r="I721" s="8">
        <v>0.2</v>
      </c>
      <c r="J721" s="4">
        <v>22509.41</v>
      </c>
      <c r="K721" s="4" t="str">
        <f t="shared" si="44"/>
        <v>September</v>
      </c>
      <c r="L721">
        <f t="shared" si="45"/>
        <v>9</v>
      </c>
      <c r="M721" s="9">
        <f t="shared" si="46"/>
        <v>0.30575461292706252</v>
      </c>
      <c r="N721" s="9">
        <f t="shared" si="47"/>
        <v>6.8175124138924667E-4</v>
      </c>
    </row>
    <row r="722" spans="1:14" x14ac:dyDescent="0.35">
      <c r="A722" s="6">
        <v>45260</v>
      </c>
      <c r="B722" t="s">
        <v>11</v>
      </c>
      <c r="C722" t="s">
        <v>17</v>
      </c>
      <c r="D722" t="s">
        <v>26</v>
      </c>
      <c r="E722" t="s">
        <v>34</v>
      </c>
      <c r="F722" s="4">
        <v>4</v>
      </c>
      <c r="G722" s="4">
        <v>169970.4</v>
      </c>
      <c r="H722" s="4">
        <v>117528.18</v>
      </c>
      <c r="I722" s="8">
        <v>0.1</v>
      </c>
      <c r="J722" s="4">
        <v>52442.22</v>
      </c>
      <c r="K722" s="4" t="str">
        <f t="shared" si="44"/>
        <v>November</v>
      </c>
      <c r="L722">
        <f t="shared" si="45"/>
        <v>11</v>
      </c>
      <c r="M722" s="9">
        <f t="shared" si="46"/>
        <v>0.3085373688595191</v>
      </c>
      <c r="N722" s="9">
        <f t="shared" si="47"/>
        <v>1.5740123663314299E-3</v>
      </c>
    </row>
    <row r="723" spans="1:14" x14ac:dyDescent="0.35">
      <c r="A723" s="6">
        <v>45113</v>
      </c>
      <c r="B723" t="s">
        <v>12</v>
      </c>
      <c r="C723" t="s">
        <v>24</v>
      </c>
      <c r="D723" t="s">
        <v>26</v>
      </c>
      <c r="E723" t="s">
        <v>30</v>
      </c>
      <c r="F723" s="4">
        <v>5</v>
      </c>
      <c r="G723" s="4">
        <v>124429.5</v>
      </c>
      <c r="H723" s="4">
        <v>73147.3</v>
      </c>
      <c r="I723" s="8">
        <v>0.1</v>
      </c>
      <c r="J723" s="4">
        <v>51282.2</v>
      </c>
      <c r="K723" s="4" t="str">
        <f t="shared" si="44"/>
        <v>July</v>
      </c>
      <c r="L723">
        <f t="shared" si="45"/>
        <v>7</v>
      </c>
      <c r="M723" s="9">
        <f t="shared" si="46"/>
        <v>0.41213860057301521</v>
      </c>
      <c r="N723" s="9">
        <f t="shared" si="47"/>
        <v>1.1522804661072555E-3</v>
      </c>
    </row>
    <row r="724" spans="1:14" x14ac:dyDescent="0.35">
      <c r="A724" s="6">
        <v>45084</v>
      </c>
      <c r="B724" t="s">
        <v>9</v>
      </c>
      <c r="C724" t="s">
        <v>13</v>
      </c>
      <c r="D724" t="s">
        <v>27</v>
      </c>
      <c r="E724" t="s">
        <v>40</v>
      </c>
      <c r="F724" s="4">
        <v>6</v>
      </c>
      <c r="G724" s="4">
        <v>174798</v>
      </c>
      <c r="H724" s="4">
        <v>132341.26</v>
      </c>
      <c r="I724" s="8">
        <v>0</v>
      </c>
      <c r="J724" s="4">
        <v>42456.74</v>
      </c>
      <c r="K724" s="4" t="str">
        <f t="shared" si="44"/>
        <v>June</v>
      </c>
      <c r="L724">
        <f t="shared" si="45"/>
        <v>6</v>
      </c>
      <c r="M724" s="9">
        <f t="shared" si="46"/>
        <v>0.24289030766942413</v>
      </c>
      <c r="N724" s="9">
        <f t="shared" si="47"/>
        <v>1.6187183980857921E-3</v>
      </c>
    </row>
    <row r="725" spans="1:14" x14ac:dyDescent="0.35">
      <c r="A725" s="6">
        <v>45107</v>
      </c>
      <c r="B725" t="s">
        <v>10</v>
      </c>
      <c r="C725" t="s">
        <v>22</v>
      </c>
      <c r="D725" t="s">
        <v>28</v>
      </c>
      <c r="E725" t="s">
        <v>44</v>
      </c>
      <c r="F725" s="4">
        <v>4</v>
      </c>
      <c r="G725" s="4">
        <v>134752.20000000001</v>
      </c>
      <c r="H725" s="4">
        <v>100507.27</v>
      </c>
      <c r="I725" s="8">
        <v>0.15</v>
      </c>
      <c r="J725" s="4">
        <v>34244.93</v>
      </c>
      <c r="K725" s="4" t="str">
        <f t="shared" si="44"/>
        <v>June</v>
      </c>
      <c r="L725">
        <f t="shared" si="45"/>
        <v>6</v>
      </c>
      <c r="M725" s="9">
        <f t="shared" si="46"/>
        <v>0.2541326226955849</v>
      </c>
      <c r="N725" s="9">
        <f t="shared" si="47"/>
        <v>1.2478739191669028E-3</v>
      </c>
    </row>
    <row r="726" spans="1:14" x14ac:dyDescent="0.35">
      <c r="A726" s="6">
        <v>44996</v>
      </c>
      <c r="B726" t="s">
        <v>9</v>
      </c>
      <c r="C726" t="s">
        <v>15</v>
      </c>
      <c r="D726" t="s">
        <v>27</v>
      </c>
      <c r="E726" t="s">
        <v>38</v>
      </c>
      <c r="F726" s="4">
        <v>7</v>
      </c>
      <c r="G726" s="4">
        <v>70310.45</v>
      </c>
      <c r="H726" s="4">
        <v>41784.68</v>
      </c>
      <c r="I726" s="8">
        <v>0.05</v>
      </c>
      <c r="J726" s="4">
        <v>28525.77</v>
      </c>
      <c r="K726" s="4" t="str">
        <f t="shared" si="44"/>
        <v>March</v>
      </c>
      <c r="L726">
        <f t="shared" si="45"/>
        <v>3</v>
      </c>
      <c r="M726" s="9">
        <f t="shared" si="46"/>
        <v>0.40571166874909775</v>
      </c>
      <c r="N726" s="9">
        <f t="shared" si="47"/>
        <v>6.5111053325948333E-4</v>
      </c>
    </row>
    <row r="727" spans="1:14" x14ac:dyDescent="0.35">
      <c r="A727" s="6">
        <v>44959</v>
      </c>
      <c r="B727" t="s">
        <v>11</v>
      </c>
      <c r="C727" t="s">
        <v>18</v>
      </c>
      <c r="D727" t="s">
        <v>25</v>
      </c>
      <c r="E727" t="s">
        <v>33</v>
      </c>
      <c r="F727" s="4">
        <v>2</v>
      </c>
      <c r="G727" s="4">
        <v>18153.599999999999</v>
      </c>
      <c r="H727" s="4">
        <v>10032.1</v>
      </c>
      <c r="I727" s="8">
        <v>0.2</v>
      </c>
      <c r="J727" s="4">
        <v>8121.5</v>
      </c>
      <c r="K727" s="4" t="str">
        <f t="shared" si="44"/>
        <v>February</v>
      </c>
      <c r="L727">
        <f t="shared" si="45"/>
        <v>2</v>
      </c>
      <c r="M727" s="9">
        <f t="shared" si="46"/>
        <v>0.44737682883835717</v>
      </c>
      <c r="N727" s="9">
        <f t="shared" si="47"/>
        <v>1.6811157056425264E-4</v>
      </c>
    </row>
    <row r="728" spans="1:14" x14ac:dyDescent="0.35">
      <c r="A728" s="6">
        <v>45258</v>
      </c>
      <c r="B728" t="s">
        <v>10</v>
      </c>
      <c r="C728" t="s">
        <v>14</v>
      </c>
      <c r="D728" t="s">
        <v>26</v>
      </c>
      <c r="E728" t="s">
        <v>34</v>
      </c>
      <c r="F728" s="4">
        <v>6</v>
      </c>
      <c r="G728" s="4">
        <v>53076</v>
      </c>
      <c r="H728" s="4">
        <v>40787.25</v>
      </c>
      <c r="I728" s="8">
        <v>0</v>
      </c>
      <c r="J728" s="4">
        <v>12288.75</v>
      </c>
      <c r="K728" s="4" t="str">
        <f t="shared" si="44"/>
        <v>November</v>
      </c>
      <c r="L728">
        <f t="shared" si="45"/>
        <v>11</v>
      </c>
      <c r="M728" s="9">
        <f t="shared" si="46"/>
        <v>0.23153120054261814</v>
      </c>
      <c r="N728" s="9">
        <f t="shared" si="47"/>
        <v>4.9151075925812362E-4</v>
      </c>
    </row>
    <row r="729" spans="1:14" x14ac:dyDescent="0.35">
      <c r="A729" s="6">
        <v>45098</v>
      </c>
      <c r="B729" t="s">
        <v>9</v>
      </c>
      <c r="C729" t="s">
        <v>13</v>
      </c>
      <c r="D729" t="s">
        <v>27</v>
      </c>
      <c r="E729" t="s">
        <v>40</v>
      </c>
      <c r="F729" s="4">
        <v>6</v>
      </c>
      <c r="G729" s="4">
        <v>254493.6</v>
      </c>
      <c r="H729" s="4">
        <v>180942.19</v>
      </c>
      <c r="I729" s="8">
        <v>0.05</v>
      </c>
      <c r="J729" s="4">
        <v>73551.41</v>
      </c>
      <c r="K729" s="4" t="str">
        <f t="shared" si="44"/>
        <v>June</v>
      </c>
      <c r="L729">
        <f t="shared" si="45"/>
        <v>6</v>
      </c>
      <c r="M729" s="9">
        <f t="shared" si="46"/>
        <v>0.28901084349468908</v>
      </c>
      <c r="N729" s="9">
        <f t="shared" si="47"/>
        <v>2.3567401944821239E-3</v>
      </c>
    </row>
    <row r="730" spans="1:14" x14ac:dyDescent="0.35">
      <c r="A730" s="6">
        <v>45112</v>
      </c>
      <c r="B730" t="s">
        <v>10</v>
      </c>
      <c r="C730" t="s">
        <v>19</v>
      </c>
      <c r="D730" t="s">
        <v>25</v>
      </c>
      <c r="E730" t="s">
        <v>29</v>
      </c>
      <c r="F730" s="4">
        <v>3</v>
      </c>
      <c r="G730" s="4">
        <v>125839.95</v>
      </c>
      <c r="H730" s="4">
        <v>92873.93</v>
      </c>
      <c r="I730" s="8">
        <v>0.15</v>
      </c>
      <c r="J730" s="4">
        <v>32966.019999999997</v>
      </c>
      <c r="K730" s="4" t="str">
        <f t="shared" si="44"/>
        <v>July</v>
      </c>
      <c r="L730">
        <f t="shared" si="45"/>
        <v>7</v>
      </c>
      <c r="M730" s="9">
        <f t="shared" si="46"/>
        <v>0.26196784089631314</v>
      </c>
      <c r="N730" s="9">
        <f t="shared" si="47"/>
        <v>1.1653419505898016E-3</v>
      </c>
    </row>
    <row r="731" spans="1:14" x14ac:dyDescent="0.35">
      <c r="A731" s="6">
        <v>45024</v>
      </c>
      <c r="B731" t="s">
        <v>12</v>
      </c>
      <c r="C731" t="s">
        <v>21</v>
      </c>
      <c r="D731" t="s">
        <v>25</v>
      </c>
      <c r="E731" t="s">
        <v>32</v>
      </c>
      <c r="F731" s="4">
        <v>3</v>
      </c>
      <c r="G731" s="4">
        <v>13972.5</v>
      </c>
      <c r="H731" s="4">
        <v>9738.83</v>
      </c>
      <c r="I731" s="8">
        <v>0.1</v>
      </c>
      <c r="J731" s="4">
        <v>4233.67</v>
      </c>
      <c r="K731" s="4" t="str">
        <f t="shared" si="44"/>
        <v>April</v>
      </c>
      <c r="L731">
        <f t="shared" si="45"/>
        <v>4</v>
      </c>
      <c r="M731" s="9">
        <f t="shared" si="46"/>
        <v>0.30300017892288422</v>
      </c>
      <c r="N731" s="9">
        <f t="shared" si="47"/>
        <v>1.2939245767831285E-4</v>
      </c>
    </row>
    <row r="732" spans="1:14" x14ac:dyDescent="0.35">
      <c r="A732" s="6">
        <v>45111</v>
      </c>
      <c r="B732" t="s">
        <v>12</v>
      </c>
      <c r="C732" t="s">
        <v>24</v>
      </c>
      <c r="D732" t="s">
        <v>28</v>
      </c>
      <c r="E732" t="s">
        <v>44</v>
      </c>
      <c r="F732" s="4">
        <v>7</v>
      </c>
      <c r="G732" s="4">
        <v>126782.25</v>
      </c>
      <c r="H732" s="4">
        <v>94592.41</v>
      </c>
      <c r="I732" s="8">
        <v>0.05</v>
      </c>
      <c r="J732" s="4">
        <v>32189.84</v>
      </c>
      <c r="K732" s="4" t="str">
        <f t="shared" si="44"/>
        <v>July</v>
      </c>
      <c r="L732">
        <f t="shared" si="45"/>
        <v>7</v>
      </c>
      <c r="M732" s="9">
        <f t="shared" si="46"/>
        <v>0.25389863328659967</v>
      </c>
      <c r="N732" s="9">
        <f t="shared" si="47"/>
        <v>1.1740681279288803E-3</v>
      </c>
    </row>
    <row r="733" spans="1:14" x14ac:dyDescent="0.35">
      <c r="A733" s="6">
        <v>45105</v>
      </c>
      <c r="B733" t="s">
        <v>12</v>
      </c>
      <c r="C733" t="s">
        <v>21</v>
      </c>
      <c r="D733" t="s">
        <v>25</v>
      </c>
      <c r="E733" t="s">
        <v>37</v>
      </c>
      <c r="F733" s="4">
        <v>7</v>
      </c>
      <c r="G733" s="4">
        <v>172889.15</v>
      </c>
      <c r="H733" s="4">
        <v>113031.67999999999</v>
      </c>
      <c r="I733" s="8">
        <v>0.15</v>
      </c>
      <c r="J733" s="4">
        <v>59857.47</v>
      </c>
      <c r="K733" s="4" t="str">
        <f t="shared" si="44"/>
        <v>June</v>
      </c>
      <c r="L733">
        <f t="shared" si="45"/>
        <v>6</v>
      </c>
      <c r="M733" s="9">
        <f t="shared" si="46"/>
        <v>0.34621877659760608</v>
      </c>
      <c r="N733" s="9">
        <f t="shared" si="47"/>
        <v>1.6010414760718899E-3</v>
      </c>
    </row>
    <row r="734" spans="1:14" x14ac:dyDescent="0.35">
      <c r="A734" s="6">
        <v>44968</v>
      </c>
      <c r="B734" t="s">
        <v>9</v>
      </c>
      <c r="C734" t="s">
        <v>13</v>
      </c>
      <c r="D734" t="s">
        <v>27</v>
      </c>
      <c r="E734" t="s">
        <v>41</v>
      </c>
      <c r="F734" s="4">
        <v>5</v>
      </c>
      <c r="G734" s="4">
        <v>28236</v>
      </c>
      <c r="H734" s="4">
        <v>19795.97</v>
      </c>
      <c r="I734" s="8">
        <v>0.2</v>
      </c>
      <c r="J734" s="4">
        <v>8440.0300000000007</v>
      </c>
      <c r="K734" s="4" t="str">
        <f t="shared" si="44"/>
        <v>February</v>
      </c>
      <c r="L734">
        <f t="shared" si="45"/>
        <v>2</v>
      </c>
      <c r="M734" s="9">
        <f t="shared" si="46"/>
        <v>0.29891025641025643</v>
      </c>
      <c r="N734" s="9">
        <f t="shared" si="47"/>
        <v>2.6147972338556749E-4</v>
      </c>
    </row>
    <row r="735" spans="1:14" x14ac:dyDescent="0.35">
      <c r="A735" s="6">
        <v>45265</v>
      </c>
      <c r="B735" t="s">
        <v>12</v>
      </c>
      <c r="C735" t="s">
        <v>21</v>
      </c>
      <c r="D735" t="s">
        <v>28</v>
      </c>
      <c r="E735" t="s">
        <v>42</v>
      </c>
      <c r="F735" s="4">
        <v>7</v>
      </c>
      <c r="G735" s="4">
        <v>231851.2</v>
      </c>
      <c r="H735" s="4">
        <v>128233.48</v>
      </c>
      <c r="I735" s="8">
        <v>0.2</v>
      </c>
      <c r="J735" s="4">
        <v>103617.72</v>
      </c>
      <c r="K735" s="4" t="str">
        <f t="shared" si="44"/>
        <v>December</v>
      </c>
      <c r="L735">
        <f t="shared" si="45"/>
        <v>12</v>
      </c>
      <c r="M735" s="9">
        <f t="shared" si="46"/>
        <v>0.44691474531941172</v>
      </c>
      <c r="N735" s="9">
        <f t="shared" si="47"/>
        <v>2.1470600525078584E-3</v>
      </c>
    </row>
    <row r="736" spans="1:14" x14ac:dyDescent="0.35">
      <c r="A736" s="6">
        <v>44993</v>
      </c>
      <c r="B736" t="s">
        <v>10</v>
      </c>
      <c r="C736" t="s">
        <v>14</v>
      </c>
      <c r="D736" t="s">
        <v>25</v>
      </c>
      <c r="E736" t="s">
        <v>29</v>
      </c>
      <c r="F736" s="4">
        <v>6</v>
      </c>
      <c r="G736" s="4">
        <v>28872</v>
      </c>
      <c r="H736" s="4">
        <v>22754.13</v>
      </c>
      <c r="I736" s="8">
        <v>0.2</v>
      </c>
      <c r="J736" s="4">
        <v>6117.87</v>
      </c>
      <c r="K736" s="4" t="str">
        <f t="shared" si="44"/>
        <v>March</v>
      </c>
      <c r="L736">
        <f t="shared" si="45"/>
        <v>3</v>
      </c>
      <c r="M736" s="9">
        <f t="shared" si="46"/>
        <v>0.21189630091438072</v>
      </c>
      <c r="N736" s="9">
        <f t="shared" si="47"/>
        <v>2.6736940691273923E-4</v>
      </c>
    </row>
    <row r="737" spans="1:14" x14ac:dyDescent="0.35">
      <c r="A737" s="6">
        <v>44971</v>
      </c>
      <c r="B737" t="s">
        <v>11</v>
      </c>
      <c r="C737" t="s">
        <v>17</v>
      </c>
      <c r="D737" t="s">
        <v>28</v>
      </c>
      <c r="E737" t="s">
        <v>44</v>
      </c>
      <c r="F737" s="4">
        <v>7</v>
      </c>
      <c r="G737" s="4">
        <v>144288.9</v>
      </c>
      <c r="H737" s="4">
        <v>81596.87</v>
      </c>
      <c r="I737" s="8">
        <v>0.1</v>
      </c>
      <c r="J737" s="4">
        <v>62692.03</v>
      </c>
      <c r="K737" s="4" t="str">
        <f t="shared" si="44"/>
        <v>February</v>
      </c>
      <c r="L737">
        <f t="shared" si="45"/>
        <v>2</v>
      </c>
      <c r="M737" s="9">
        <f t="shared" si="46"/>
        <v>0.43448962463502044</v>
      </c>
      <c r="N737" s="9">
        <f t="shared" si="47"/>
        <v>1.3361886123958E-3</v>
      </c>
    </row>
    <row r="738" spans="1:14" x14ac:dyDescent="0.35">
      <c r="A738" s="6">
        <v>45253</v>
      </c>
      <c r="B738" t="s">
        <v>11</v>
      </c>
      <c r="C738" t="s">
        <v>17</v>
      </c>
      <c r="D738" t="s">
        <v>26</v>
      </c>
      <c r="E738" t="s">
        <v>43</v>
      </c>
      <c r="F738" s="4">
        <v>3</v>
      </c>
      <c r="G738" s="4">
        <v>16744.8</v>
      </c>
      <c r="H738" s="4">
        <v>9684.94</v>
      </c>
      <c r="I738" s="8">
        <v>0.2</v>
      </c>
      <c r="J738" s="4">
        <v>7059.86</v>
      </c>
      <c r="K738" s="4" t="str">
        <f t="shared" si="44"/>
        <v>November</v>
      </c>
      <c r="L738">
        <f t="shared" si="45"/>
        <v>11</v>
      </c>
      <c r="M738" s="9">
        <f t="shared" si="46"/>
        <v>0.42161506855859732</v>
      </c>
      <c r="N738" s="9">
        <f t="shared" si="47"/>
        <v>1.5506536592104584E-4</v>
      </c>
    </row>
    <row r="739" spans="1:14" x14ac:dyDescent="0.35">
      <c r="A739" s="6">
        <v>44927</v>
      </c>
      <c r="B739" t="s">
        <v>9</v>
      </c>
      <c r="C739" t="s">
        <v>15</v>
      </c>
      <c r="D739" t="s">
        <v>28</v>
      </c>
      <c r="E739" t="s">
        <v>36</v>
      </c>
      <c r="F739" s="4">
        <v>1</v>
      </c>
      <c r="G739" s="4">
        <v>35081</v>
      </c>
      <c r="H739" s="4">
        <v>24956.38</v>
      </c>
      <c r="I739" s="8">
        <v>0</v>
      </c>
      <c r="J739" s="4">
        <v>10124.620000000001</v>
      </c>
      <c r="K739" s="4" t="str">
        <f t="shared" si="44"/>
        <v>January</v>
      </c>
      <c r="L739">
        <f t="shared" si="45"/>
        <v>1</v>
      </c>
      <c r="M739" s="9">
        <f t="shared" si="46"/>
        <v>0.28860693822867084</v>
      </c>
      <c r="N739" s="9">
        <f t="shared" si="47"/>
        <v>3.2486790537218771E-4</v>
      </c>
    </row>
    <row r="740" spans="1:14" x14ac:dyDescent="0.35">
      <c r="A740" s="6">
        <v>45114</v>
      </c>
      <c r="B740" t="s">
        <v>10</v>
      </c>
      <c r="C740" t="s">
        <v>22</v>
      </c>
      <c r="D740" t="s">
        <v>26</v>
      </c>
      <c r="E740" t="s">
        <v>34</v>
      </c>
      <c r="F740" s="4">
        <v>1</v>
      </c>
      <c r="G740" s="4">
        <v>35457.800000000003</v>
      </c>
      <c r="H740" s="4">
        <v>21007.75</v>
      </c>
      <c r="I740" s="8">
        <v>0.05</v>
      </c>
      <c r="J740" s="4">
        <v>14450.05</v>
      </c>
      <c r="K740" s="4" t="str">
        <f t="shared" si="44"/>
        <v>July</v>
      </c>
      <c r="L740">
        <f t="shared" si="45"/>
        <v>7</v>
      </c>
      <c r="M740" s="9">
        <f t="shared" si="46"/>
        <v>0.40752810383046884</v>
      </c>
      <c r="N740" s="9">
        <f t="shared" si="47"/>
        <v>3.2835726504677629E-4</v>
      </c>
    </row>
    <row r="741" spans="1:14" x14ac:dyDescent="0.35">
      <c r="A741" s="6">
        <v>44951</v>
      </c>
      <c r="B741" t="s">
        <v>10</v>
      </c>
      <c r="C741" t="s">
        <v>19</v>
      </c>
      <c r="D741" t="s">
        <v>26</v>
      </c>
      <c r="E741" t="s">
        <v>34</v>
      </c>
      <c r="F741" s="4">
        <v>1</v>
      </c>
      <c r="G741" s="4">
        <v>3092.4</v>
      </c>
      <c r="H741" s="4">
        <v>2234.8200000000002</v>
      </c>
      <c r="I741" s="8">
        <v>0.1</v>
      </c>
      <c r="J741" s="4">
        <v>857.58</v>
      </c>
      <c r="K741" s="4" t="str">
        <f t="shared" si="44"/>
        <v>January</v>
      </c>
      <c r="L741">
        <f t="shared" si="45"/>
        <v>1</v>
      </c>
      <c r="M741" s="9">
        <f t="shared" si="46"/>
        <v>0.27731858750485061</v>
      </c>
      <c r="N741" s="9">
        <f t="shared" si="47"/>
        <v>2.8637197074568951E-5</v>
      </c>
    </row>
    <row r="742" spans="1:14" x14ac:dyDescent="0.35">
      <c r="A742" s="6">
        <v>45018</v>
      </c>
      <c r="B742" t="s">
        <v>10</v>
      </c>
      <c r="C742" t="s">
        <v>19</v>
      </c>
      <c r="D742" t="s">
        <v>27</v>
      </c>
      <c r="E742" t="s">
        <v>40</v>
      </c>
      <c r="F742" s="4">
        <v>6</v>
      </c>
      <c r="G742" s="4">
        <v>150017.4</v>
      </c>
      <c r="H742" s="4">
        <v>82666.62</v>
      </c>
      <c r="I742" s="8">
        <v>0.1</v>
      </c>
      <c r="J742" s="4">
        <v>67350.78</v>
      </c>
      <c r="K742" s="4" t="str">
        <f t="shared" si="44"/>
        <v>April</v>
      </c>
      <c r="L742">
        <f t="shared" si="45"/>
        <v>4</v>
      </c>
      <c r="M742" s="9">
        <f t="shared" si="46"/>
        <v>0.44895312143791322</v>
      </c>
      <c r="N742" s="9">
        <f t="shared" si="47"/>
        <v>1.3892374364294529E-3</v>
      </c>
    </row>
    <row r="743" spans="1:14" x14ac:dyDescent="0.35">
      <c r="A743" s="6">
        <v>44994</v>
      </c>
      <c r="B743" t="s">
        <v>9</v>
      </c>
      <c r="C743" t="s">
        <v>15</v>
      </c>
      <c r="D743" t="s">
        <v>26</v>
      </c>
      <c r="E743" t="s">
        <v>35</v>
      </c>
      <c r="F743" s="4">
        <v>1</v>
      </c>
      <c r="G743" s="4">
        <v>26733.35</v>
      </c>
      <c r="H743" s="4">
        <v>18577.13</v>
      </c>
      <c r="I743" s="8">
        <v>0.15</v>
      </c>
      <c r="J743" s="4">
        <v>8156.22</v>
      </c>
      <c r="K743" s="4" t="str">
        <f t="shared" si="44"/>
        <v>March</v>
      </c>
      <c r="L743">
        <f t="shared" si="45"/>
        <v>3</v>
      </c>
      <c r="M743" s="9">
        <f t="shared" si="46"/>
        <v>0.30509532101289216</v>
      </c>
      <c r="N743" s="9">
        <f t="shared" si="47"/>
        <v>2.4756442000175519E-4</v>
      </c>
    </row>
    <row r="744" spans="1:14" x14ac:dyDescent="0.35">
      <c r="A744" s="6">
        <v>44951</v>
      </c>
      <c r="B744" t="s">
        <v>10</v>
      </c>
      <c r="C744" t="s">
        <v>14</v>
      </c>
      <c r="D744" t="s">
        <v>28</v>
      </c>
      <c r="E744" t="s">
        <v>44</v>
      </c>
      <c r="F744" s="4">
        <v>3</v>
      </c>
      <c r="G744" s="4">
        <v>101671.2</v>
      </c>
      <c r="H744" s="4">
        <v>61941.25</v>
      </c>
      <c r="I744" s="8">
        <v>0.2</v>
      </c>
      <c r="J744" s="4">
        <v>39729.949999999997</v>
      </c>
      <c r="K744" s="4" t="str">
        <f t="shared" si="44"/>
        <v>January</v>
      </c>
      <c r="L744">
        <f t="shared" si="45"/>
        <v>1</v>
      </c>
      <c r="M744" s="9">
        <f t="shared" si="46"/>
        <v>0.39076896899023517</v>
      </c>
      <c r="N744" s="9">
        <f t="shared" si="47"/>
        <v>9.415270311757581E-4</v>
      </c>
    </row>
    <row r="745" spans="1:14" x14ac:dyDescent="0.35">
      <c r="A745" s="6">
        <v>45101</v>
      </c>
      <c r="B745" t="s">
        <v>11</v>
      </c>
      <c r="C745" t="s">
        <v>18</v>
      </c>
      <c r="D745" t="s">
        <v>28</v>
      </c>
      <c r="E745" t="s">
        <v>42</v>
      </c>
      <c r="F745" s="4">
        <v>2</v>
      </c>
      <c r="G745" s="4">
        <v>80843.100000000006</v>
      </c>
      <c r="H745" s="4">
        <v>55517.56</v>
      </c>
      <c r="I745" s="8">
        <v>0.05</v>
      </c>
      <c r="J745" s="4">
        <v>25325.54</v>
      </c>
      <c r="K745" s="4" t="str">
        <f t="shared" si="44"/>
        <v>June</v>
      </c>
      <c r="L745">
        <f t="shared" si="45"/>
        <v>6</v>
      </c>
      <c r="M745" s="9">
        <f t="shared" si="46"/>
        <v>0.31326779898346302</v>
      </c>
      <c r="N745" s="9">
        <f t="shared" si="47"/>
        <v>7.4864823011870564E-4</v>
      </c>
    </row>
    <row r="746" spans="1:14" x14ac:dyDescent="0.35">
      <c r="A746" s="6">
        <v>45235</v>
      </c>
      <c r="B746" t="s">
        <v>9</v>
      </c>
      <c r="C746" t="s">
        <v>15</v>
      </c>
      <c r="D746" t="s">
        <v>27</v>
      </c>
      <c r="E746" t="s">
        <v>41</v>
      </c>
      <c r="F746" s="4">
        <v>7</v>
      </c>
      <c r="G746" s="4">
        <v>220827.6</v>
      </c>
      <c r="H746" s="4">
        <v>168036.28</v>
      </c>
      <c r="I746" s="8">
        <v>0.1</v>
      </c>
      <c r="J746" s="4">
        <v>52791.32</v>
      </c>
      <c r="K746" s="4" t="str">
        <f t="shared" si="44"/>
        <v>November</v>
      </c>
      <c r="L746">
        <f t="shared" si="45"/>
        <v>11</v>
      </c>
      <c r="M746" s="9">
        <f t="shared" si="46"/>
        <v>0.23906124053333913</v>
      </c>
      <c r="N746" s="9">
        <f t="shared" si="47"/>
        <v>2.0449759089070244E-3</v>
      </c>
    </row>
    <row r="747" spans="1:14" x14ac:dyDescent="0.35">
      <c r="A747" s="6">
        <v>45140</v>
      </c>
      <c r="B747" t="s">
        <v>10</v>
      </c>
      <c r="C747" t="s">
        <v>19</v>
      </c>
      <c r="D747" t="s">
        <v>28</v>
      </c>
      <c r="E747" t="s">
        <v>36</v>
      </c>
      <c r="F747" s="4">
        <v>5</v>
      </c>
      <c r="G747" s="4">
        <v>50715</v>
      </c>
      <c r="H747" s="4">
        <v>35889.96</v>
      </c>
      <c r="I747" s="8">
        <v>0</v>
      </c>
      <c r="J747" s="4">
        <v>14825.04</v>
      </c>
      <c r="K747" s="4" t="str">
        <f t="shared" si="44"/>
        <v>August</v>
      </c>
      <c r="L747">
        <f t="shared" si="45"/>
        <v>8</v>
      </c>
      <c r="M747" s="9">
        <f t="shared" si="46"/>
        <v>0.29232061520260277</v>
      </c>
      <c r="N747" s="9">
        <f t="shared" si="47"/>
        <v>4.6964669823980218E-4</v>
      </c>
    </row>
    <row r="748" spans="1:14" x14ac:dyDescent="0.35">
      <c r="A748" s="6">
        <v>45113</v>
      </c>
      <c r="B748" t="s">
        <v>9</v>
      </c>
      <c r="C748" t="s">
        <v>20</v>
      </c>
      <c r="D748" t="s">
        <v>25</v>
      </c>
      <c r="E748" t="s">
        <v>32</v>
      </c>
      <c r="F748" s="4">
        <v>4</v>
      </c>
      <c r="G748" s="4">
        <v>72821.2</v>
      </c>
      <c r="H748" s="4">
        <v>47698.09</v>
      </c>
      <c r="I748" s="8">
        <v>0.15</v>
      </c>
      <c r="J748" s="4">
        <v>25123.11</v>
      </c>
      <c r="K748" s="4" t="str">
        <f t="shared" si="44"/>
        <v>July</v>
      </c>
      <c r="L748">
        <f t="shared" si="45"/>
        <v>7</v>
      </c>
      <c r="M748" s="9">
        <f t="shared" si="46"/>
        <v>0.34499719861798489</v>
      </c>
      <c r="N748" s="9">
        <f t="shared" si="47"/>
        <v>6.7436135545421039E-4</v>
      </c>
    </row>
    <row r="749" spans="1:14" x14ac:dyDescent="0.35">
      <c r="A749" s="6">
        <v>45024</v>
      </c>
      <c r="B749" t="s">
        <v>12</v>
      </c>
      <c r="C749" t="s">
        <v>21</v>
      </c>
      <c r="D749" t="s">
        <v>26</v>
      </c>
      <c r="E749" t="s">
        <v>35</v>
      </c>
      <c r="F749" s="4">
        <v>4</v>
      </c>
      <c r="G749" s="4">
        <v>18547.2</v>
      </c>
      <c r="H749" s="4">
        <v>13409.86</v>
      </c>
      <c r="I749" s="8">
        <v>0.2</v>
      </c>
      <c r="J749" s="4">
        <v>5137.34</v>
      </c>
      <c r="K749" s="4" t="str">
        <f t="shared" si="44"/>
        <v>April</v>
      </c>
      <c r="L749">
        <f t="shared" si="45"/>
        <v>4</v>
      </c>
      <c r="M749" s="9">
        <f t="shared" si="46"/>
        <v>0.27698736197377499</v>
      </c>
      <c r="N749" s="9">
        <f t="shared" si="47"/>
        <v>1.7175650678484194E-4</v>
      </c>
    </row>
    <row r="750" spans="1:14" x14ac:dyDescent="0.35">
      <c r="A750" s="6">
        <v>44942</v>
      </c>
      <c r="B750" t="s">
        <v>9</v>
      </c>
      <c r="C750" t="s">
        <v>15</v>
      </c>
      <c r="D750" t="s">
        <v>26</v>
      </c>
      <c r="E750" t="s">
        <v>30</v>
      </c>
      <c r="F750" s="4">
        <v>6</v>
      </c>
      <c r="G750" s="4">
        <v>84134.7</v>
      </c>
      <c r="H750" s="4">
        <v>67234.7</v>
      </c>
      <c r="I750" s="8">
        <v>0.15</v>
      </c>
      <c r="J750" s="4">
        <v>16900</v>
      </c>
      <c r="K750" s="4" t="str">
        <f t="shared" si="44"/>
        <v>January</v>
      </c>
      <c r="L750">
        <f t="shared" si="45"/>
        <v>1</v>
      </c>
      <c r="M750" s="9">
        <f t="shared" si="46"/>
        <v>0.20086836941238276</v>
      </c>
      <c r="N750" s="9">
        <f t="shared" si="47"/>
        <v>7.7913012052442633E-4</v>
      </c>
    </row>
    <row r="751" spans="1:14" x14ac:dyDescent="0.35">
      <c r="A751" s="6">
        <v>45140</v>
      </c>
      <c r="B751" t="s">
        <v>11</v>
      </c>
      <c r="C751" t="s">
        <v>17</v>
      </c>
      <c r="D751" t="s">
        <v>26</v>
      </c>
      <c r="E751" t="s">
        <v>43</v>
      </c>
      <c r="F751" s="4">
        <v>6</v>
      </c>
      <c r="G751" s="4">
        <v>17273.7</v>
      </c>
      <c r="H751" s="4">
        <v>12653.73</v>
      </c>
      <c r="I751" s="8">
        <v>0.15</v>
      </c>
      <c r="J751" s="4">
        <v>4619.97</v>
      </c>
      <c r="K751" s="4" t="str">
        <f t="shared" si="44"/>
        <v>August</v>
      </c>
      <c r="L751">
        <f t="shared" si="45"/>
        <v>8</v>
      </c>
      <c r="M751" s="9">
        <f t="shared" si="46"/>
        <v>0.26745688532277395</v>
      </c>
      <c r="N751" s="9">
        <f t="shared" si="47"/>
        <v>1.5996324896746272E-4</v>
      </c>
    </row>
    <row r="752" spans="1:14" x14ac:dyDescent="0.35">
      <c r="A752" s="6">
        <v>45289</v>
      </c>
      <c r="B752" t="s">
        <v>12</v>
      </c>
      <c r="C752" t="s">
        <v>24</v>
      </c>
      <c r="D752" t="s">
        <v>26</v>
      </c>
      <c r="E752" t="s">
        <v>43</v>
      </c>
      <c r="F752" s="4">
        <v>1</v>
      </c>
      <c r="G752" s="4">
        <v>9723.6</v>
      </c>
      <c r="H752" s="4">
        <v>6974.78</v>
      </c>
      <c r="I752" s="8">
        <v>0.1</v>
      </c>
      <c r="J752" s="4">
        <v>2748.82</v>
      </c>
      <c r="K752" s="4" t="str">
        <f t="shared" si="44"/>
        <v>December</v>
      </c>
      <c r="L752">
        <f t="shared" si="45"/>
        <v>12</v>
      </c>
      <c r="M752" s="9">
        <f t="shared" si="46"/>
        <v>0.28269570940803818</v>
      </c>
      <c r="N752" s="9">
        <f t="shared" si="47"/>
        <v>9.0045482303155688E-5</v>
      </c>
    </row>
    <row r="753" spans="1:14" x14ac:dyDescent="0.35">
      <c r="A753" s="6">
        <v>45029</v>
      </c>
      <c r="B753" t="s">
        <v>9</v>
      </c>
      <c r="C753" t="s">
        <v>20</v>
      </c>
      <c r="D753" t="s">
        <v>27</v>
      </c>
      <c r="E753" t="s">
        <v>40</v>
      </c>
      <c r="F753" s="4">
        <v>2</v>
      </c>
      <c r="G753" s="4">
        <v>12948</v>
      </c>
      <c r="H753" s="4">
        <v>9244.56</v>
      </c>
      <c r="I753" s="8">
        <v>0</v>
      </c>
      <c r="J753" s="4">
        <v>3703.44</v>
      </c>
      <c r="K753" s="4" t="str">
        <f t="shared" si="44"/>
        <v>April</v>
      </c>
      <c r="L753">
        <f t="shared" si="45"/>
        <v>4</v>
      </c>
      <c r="M753" s="9">
        <f t="shared" si="46"/>
        <v>0.28602409638554216</v>
      </c>
      <c r="N753" s="9">
        <f t="shared" si="47"/>
        <v>1.1990506652487348E-4</v>
      </c>
    </row>
    <row r="754" spans="1:14" x14ac:dyDescent="0.35">
      <c r="A754" s="6">
        <v>45096</v>
      </c>
      <c r="B754" t="s">
        <v>9</v>
      </c>
      <c r="C754" t="s">
        <v>15</v>
      </c>
      <c r="D754" t="s">
        <v>27</v>
      </c>
      <c r="E754" t="s">
        <v>31</v>
      </c>
      <c r="F754" s="4">
        <v>2</v>
      </c>
      <c r="G754" s="4">
        <v>6586.2</v>
      </c>
      <c r="H754" s="4">
        <v>4984.93</v>
      </c>
      <c r="I754" s="8">
        <v>0.1</v>
      </c>
      <c r="J754" s="4">
        <v>1601.27</v>
      </c>
      <c r="K754" s="4" t="str">
        <f t="shared" si="44"/>
        <v>June</v>
      </c>
      <c r="L754">
        <f t="shared" si="45"/>
        <v>6</v>
      </c>
      <c r="M754" s="9">
        <f t="shared" si="46"/>
        <v>0.24312501897907746</v>
      </c>
      <c r="N754" s="9">
        <f t="shared" si="47"/>
        <v>6.0991562337513265E-5</v>
      </c>
    </row>
    <row r="755" spans="1:14" x14ac:dyDescent="0.35">
      <c r="A755" s="6">
        <v>45035</v>
      </c>
      <c r="B755" t="s">
        <v>9</v>
      </c>
      <c r="C755" t="s">
        <v>20</v>
      </c>
      <c r="D755" t="s">
        <v>26</v>
      </c>
      <c r="E755" t="s">
        <v>30</v>
      </c>
      <c r="F755" s="4">
        <v>3</v>
      </c>
      <c r="G755" s="4">
        <v>97094.7</v>
      </c>
      <c r="H755" s="4">
        <v>70271.149999999994</v>
      </c>
      <c r="I755" s="8">
        <v>0.1</v>
      </c>
      <c r="J755" s="4">
        <v>26823.55</v>
      </c>
      <c r="K755" s="4" t="str">
        <f t="shared" si="44"/>
        <v>April</v>
      </c>
      <c r="L755">
        <f t="shared" si="45"/>
        <v>4</v>
      </c>
      <c r="M755" s="9">
        <f t="shared" si="46"/>
        <v>0.27626173210278215</v>
      </c>
      <c r="N755" s="9">
        <f t="shared" si="47"/>
        <v>8.9914631315358615E-4</v>
      </c>
    </row>
    <row r="756" spans="1:14" x14ac:dyDescent="0.35">
      <c r="A756" s="6">
        <v>45027</v>
      </c>
      <c r="B756" t="s">
        <v>12</v>
      </c>
      <c r="C756" t="s">
        <v>21</v>
      </c>
      <c r="D756" t="s">
        <v>27</v>
      </c>
      <c r="E756" t="s">
        <v>41</v>
      </c>
      <c r="F756" s="4">
        <v>5</v>
      </c>
      <c r="G756" s="4">
        <v>72000</v>
      </c>
      <c r="H756" s="4">
        <v>41997.279999999999</v>
      </c>
      <c r="I756" s="8">
        <v>0</v>
      </c>
      <c r="J756" s="4">
        <v>30002.720000000001</v>
      </c>
      <c r="K756" s="4" t="str">
        <f t="shared" si="44"/>
        <v>April</v>
      </c>
      <c r="L756">
        <f t="shared" si="45"/>
        <v>4</v>
      </c>
      <c r="M756" s="9">
        <f t="shared" si="46"/>
        <v>0.41670444444444443</v>
      </c>
      <c r="N756" s="9">
        <f t="shared" si="47"/>
        <v>6.6675662571755417E-4</v>
      </c>
    </row>
    <row r="757" spans="1:14" x14ac:dyDescent="0.35">
      <c r="A757" s="6">
        <v>45223</v>
      </c>
      <c r="B757" t="s">
        <v>10</v>
      </c>
      <c r="C757" t="s">
        <v>14</v>
      </c>
      <c r="D757" t="s">
        <v>26</v>
      </c>
      <c r="E757" t="s">
        <v>43</v>
      </c>
      <c r="F757" s="4">
        <v>4</v>
      </c>
      <c r="G757" s="4">
        <v>91063.2</v>
      </c>
      <c r="H757" s="4">
        <v>56645.51</v>
      </c>
      <c r="I757" s="8">
        <v>0.05</v>
      </c>
      <c r="J757" s="4">
        <v>34417.69</v>
      </c>
      <c r="K757" s="4" t="str">
        <f t="shared" si="44"/>
        <v>October</v>
      </c>
      <c r="L757">
        <f t="shared" si="45"/>
        <v>10</v>
      </c>
      <c r="M757" s="9">
        <f t="shared" si="46"/>
        <v>0.37795388257825341</v>
      </c>
      <c r="N757" s="9">
        <f t="shared" si="47"/>
        <v>8.4329155498670517E-4</v>
      </c>
    </row>
    <row r="758" spans="1:14" x14ac:dyDescent="0.35">
      <c r="A758" s="6">
        <v>45248</v>
      </c>
      <c r="B758" t="s">
        <v>10</v>
      </c>
      <c r="C758" t="s">
        <v>22</v>
      </c>
      <c r="D758" t="s">
        <v>27</v>
      </c>
      <c r="E758" t="s">
        <v>38</v>
      </c>
      <c r="F758" s="4">
        <v>6</v>
      </c>
      <c r="G758" s="4">
        <v>6724.8</v>
      </c>
      <c r="H758" s="4">
        <v>4234.42</v>
      </c>
      <c r="I758" s="8">
        <v>0.2</v>
      </c>
      <c r="J758" s="4">
        <v>2490.38</v>
      </c>
      <c r="K758" s="4" t="str">
        <f t="shared" si="44"/>
        <v>November</v>
      </c>
      <c r="L758">
        <f t="shared" si="45"/>
        <v>11</v>
      </c>
      <c r="M758" s="9">
        <f t="shared" si="46"/>
        <v>0.37032774208898406</v>
      </c>
      <c r="N758" s="9">
        <f t="shared" si="47"/>
        <v>6.2275068842019551E-5</v>
      </c>
    </row>
    <row r="759" spans="1:14" x14ac:dyDescent="0.35">
      <c r="A759" s="6">
        <v>45167</v>
      </c>
      <c r="B759" t="s">
        <v>11</v>
      </c>
      <c r="C759" t="s">
        <v>17</v>
      </c>
      <c r="D759" t="s">
        <v>25</v>
      </c>
      <c r="E759" t="s">
        <v>33</v>
      </c>
      <c r="F759" s="4">
        <v>3</v>
      </c>
      <c r="G759" s="4">
        <v>48956.4</v>
      </c>
      <c r="H759" s="4">
        <v>34583.800000000003</v>
      </c>
      <c r="I759" s="8">
        <v>0.1</v>
      </c>
      <c r="J759" s="4">
        <v>14372.6</v>
      </c>
      <c r="K759" s="4" t="str">
        <f t="shared" si="44"/>
        <v>August</v>
      </c>
      <c r="L759">
        <f t="shared" si="45"/>
        <v>8</v>
      </c>
      <c r="M759" s="9">
        <f t="shared" si="46"/>
        <v>0.29357959327074701</v>
      </c>
      <c r="N759" s="9">
        <f t="shared" si="47"/>
        <v>4.5336116765665093E-4</v>
      </c>
    </row>
    <row r="760" spans="1:14" x14ac:dyDescent="0.35">
      <c r="A760" s="6">
        <v>45052</v>
      </c>
      <c r="B760" t="s">
        <v>11</v>
      </c>
      <c r="C760" t="s">
        <v>16</v>
      </c>
      <c r="D760" t="s">
        <v>26</v>
      </c>
      <c r="E760" t="s">
        <v>43</v>
      </c>
      <c r="F760" s="4">
        <v>3</v>
      </c>
      <c r="G760" s="4">
        <v>68997</v>
      </c>
      <c r="H760" s="4">
        <v>38337.57</v>
      </c>
      <c r="I760" s="8">
        <v>0</v>
      </c>
      <c r="J760" s="4">
        <v>30659.43</v>
      </c>
      <c r="K760" s="4" t="str">
        <f t="shared" si="44"/>
        <v>May</v>
      </c>
      <c r="L760">
        <f t="shared" si="45"/>
        <v>5</v>
      </c>
      <c r="M760" s="9">
        <f t="shared" si="46"/>
        <v>0.44435888516892041</v>
      </c>
      <c r="N760" s="9">
        <f t="shared" si="47"/>
        <v>6.3894731811991784E-4</v>
      </c>
    </row>
    <row r="761" spans="1:14" x14ac:dyDescent="0.35">
      <c r="A761" s="6">
        <v>44951</v>
      </c>
      <c r="B761" t="s">
        <v>9</v>
      </c>
      <c r="C761" t="s">
        <v>20</v>
      </c>
      <c r="D761" t="s">
        <v>27</v>
      </c>
      <c r="E761" t="s">
        <v>31</v>
      </c>
      <c r="F761" s="4">
        <v>2</v>
      </c>
      <c r="G761" s="4">
        <v>1296</v>
      </c>
      <c r="H761" s="4">
        <v>974.72</v>
      </c>
      <c r="I761" s="8">
        <v>0.1</v>
      </c>
      <c r="J761" s="4">
        <v>321.27999999999997</v>
      </c>
      <c r="K761" s="4" t="str">
        <f t="shared" si="44"/>
        <v>January</v>
      </c>
      <c r="L761">
        <f t="shared" si="45"/>
        <v>1</v>
      </c>
      <c r="M761" s="9">
        <f t="shared" si="46"/>
        <v>0.24790123456790122</v>
      </c>
      <c r="N761" s="9">
        <f t="shared" si="47"/>
        <v>1.2001619262915975E-5</v>
      </c>
    </row>
    <row r="762" spans="1:14" x14ac:dyDescent="0.35">
      <c r="A762" s="6">
        <v>45286</v>
      </c>
      <c r="B762" t="s">
        <v>11</v>
      </c>
      <c r="C762" t="s">
        <v>18</v>
      </c>
      <c r="D762" t="s">
        <v>25</v>
      </c>
      <c r="E762" t="s">
        <v>33</v>
      </c>
      <c r="F762" s="4">
        <v>1</v>
      </c>
      <c r="G762" s="4">
        <v>35951.800000000003</v>
      </c>
      <c r="H762" s="4">
        <v>21401.85</v>
      </c>
      <c r="I762" s="8">
        <v>0.05</v>
      </c>
      <c r="J762" s="4">
        <v>14549.95</v>
      </c>
      <c r="K762" s="4" t="str">
        <f t="shared" si="44"/>
        <v>December</v>
      </c>
      <c r="L762">
        <f t="shared" si="45"/>
        <v>12</v>
      </c>
      <c r="M762" s="9">
        <f t="shared" si="46"/>
        <v>0.40470713566497363</v>
      </c>
      <c r="N762" s="9">
        <f t="shared" si="47"/>
        <v>3.3293195633989396E-4</v>
      </c>
    </row>
    <row r="763" spans="1:14" x14ac:dyDescent="0.35">
      <c r="A763" s="6">
        <v>45278</v>
      </c>
      <c r="B763" t="s">
        <v>9</v>
      </c>
      <c r="C763" t="s">
        <v>20</v>
      </c>
      <c r="D763" t="s">
        <v>28</v>
      </c>
      <c r="E763" t="s">
        <v>39</v>
      </c>
      <c r="F763" s="4">
        <v>5</v>
      </c>
      <c r="G763" s="4">
        <v>166016</v>
      </c>
      <c r="H763" s="4">
        <v>109010.25</v>
      </c>
      <c r="I763" s="8">
        <v>0.2</v>
      </c>
      <c r="J763" s="4">
        <v>57005.75</v>
      </c>
      <c r="K763" s="4" t="str">
        <f t="shared" si="44"/>
        <v>December</v>
      </c>
      <c r="L763">
        <f t="shared" si="45"/>
        <v>12</v>
      </c>
      <c r="M763" s="9">
        <f t="shared" si="46"/>
        <v>0.34337503614109482</v>
      </c>
      <c r="N763" s="9">
        <f t="shared" si="47"/>
        <v>1.5373926107656315E-3</v>
      </c>
    </row>
    <row r="764" spans="1:14" x14ac:dyDescent="0.35">
      <c r="A764" s="6">
        <v>45014</v>
      </c>
      <c r="B764" t="s">
        <v>12</v>
      </c>
      <c r="C764" t="s">
        <v>21</v>
      </c>
      <c r="D764" t="s">
        <v>25</v>
      </c>
      <c r="E764" t="s">
        <v>29</v>
      </c>
      <c r="F764" s="4">
        <v>2</v>
      </c>
      <c r="G764" s="4">
        <v>96290</v>
      </c>
      <c r="H764" s="4">
        <v>58110.89</v>
      </c>
      <c r="I764" s="8">
        <v>0</v>
      </c>
      <c r="J764" s="4">
        <v>38179.11</v>
      </c>
      <c r="K764" s="4" t="str">
        <f t="shared" si="44"/>
        <v>March</v>
      </c>
      <c r="L764">
        <f t="shared" si="45"/>
        <v>3</v>
      </c>
      <c r="M764" s="9">
        <f t="shared" si="46"/>
        <v>0.39650129816180291</v>
      </c>
      <c r="N764" s="9">
        <f t="shared" si="47"/>
        <v>8.9169438181032343E-4</v>
      </c>
    </row>
    <row r="765" spans="1:14" x14ac:dyDescent="0.35">
      <c r="A765" s="6">
        <v>45080</v>
      </c>
      <c r="B765" t="s">
        <v>11</v>
      </c>
      <c r="C765" t="s">
        <v>16</v>
      </c>
      <c r="D765" t="s">
        <v>27</v>
      </c>
      <c r="E765" t="s">
        <v>40</v>
      </c>
      <c r="F765" s="4">
        <v>7</v>
      </c>
      <c r="G765" s="4">
        <v>7105</v>
      </c>
      <c r="H765" s="4">
        <v>4456.26</v>
      </c>
      <c r="I765" s="8">
        <v>0</v>
      </c>
      <c r="J765" s="4">
        <v>2648.74</v>
      </c>
      <c r="K765" s="4" t="str">
        <f t="shared" si="44"/>
        <v>June</v>
      </c>
      <c r="L765">
        <f t="shared" si="45"/>
        <v>6</v>
      </c>
      <c r="M765" s="9">
        <f t="shared" si="46"/>
        <v>0.37279943701618573</v>
      </c>
      <c r="N765" s="9">
        <f t="shared" si="47"/>
        <v>6.5795914246155862E-5</v>
      </c>
    </row>
    <row r="766" spans="1:14" x14ac:dyDescent="0.35">
      <c r="A766" s="6">
        <v>45187</v>
      </c>
      <c r="B766" t="s">
        <v>11</v>
      </c>
      <c r="C766" t="s">
        <v>16</v>
      </c>
      <c r="D766" t="s">
        <v>26</v>
      </c>
      <c r="E766" t="s">
        <v>35</v>
      </c>
      <c r="F766" s="4">
        <v>3</v>
      </c>
      <c r="G766" s="4">
        <v>16595.400000000001</v>
      </c>
      <c r="H766" s="4">
        <v>12060.77</v>
      </c>
      <c r="I766" s="8">
        <v>0.15</v>
      </c>
      <c r="J766" s="4">
        <v>4534.63</v>
      </c>
      <c r="K766" s="4" t="str">
        <f t="shared" si="44"/>
        <v>September</v>
      </c>
      <c r="L766">
        <f t="shared" si="45"/>
        <v>9</v>
      </c>
      <c r="M766" s="9">
        <f t="shared" si="46"/>
        <v>0.27324620075442591</v>
      </c>
      <c r="N766" s="9">
        <f t="shared" si="47"/>
        <v>1.5368184592268191E-4</v>
      </c>
    </row>
    <row r="767" spans="1:14" x14ac:dyDescent="0.35">
      <c r="A767" s="6">
        <v>45035</v>
      </c>
      <c r="B767" t="s">
        <v>11</v>
      </c>
      <c r="C767" t="s">
        <v>17</v>
      </c>
      <c r="D767" t="s">
        <v>28</v>
      </c>
      <c r="E767" t="s">
        <v>42</v>
      </c>
      <c r="F767" s="4">
        <v>2</v>
      </c>
      <c r="G767" s="4">
        <v>59110.400000000001</v>
      </c>
      <c r="H767" s="4">
        <v>32790.69</v>
      </c>
      <c r="I767" s="8">
        <v>0.2</v>
      </c>
      <c r="J767" s="4">
        <v>26319.71</v>
      </c>
      <c r="K767" s="4" t="str">
        <f t="shared" si="44"/>
        <v>April</v>
      </c>
      <c r="L767">
        <f t="shared" si="45"/>
        <v>4</v>
      </c>
      <c r="M767" s="9">
        <f t="shared" si="46"/>
        <v>0.44526360843438717</v>
      </c>
      <c r="N767" s="9">
        <f t="shared" si="47"/>
        <v>5.4739237290020708E-4</v>
      </c>
    </row>
    <row r="768" spans="1:14" x14ac:dyDescent="0.35">
      <c r="A768" s="6">
        <v>45193</v>
      </c>
      <c r="B768" t="s">
        <v>10</v>
      </c>
      <c r="C768" t="s">
        <v>14</v>
      </c>
      <c r="D768" t="s">
        <v>25</v>
      </c>
      <c r="E768" t="s">
        <v>33</v>
      </c>
      <c r="F768" s="4">
        <v>3</v>
      </c>
      <c r="G768" s="4">
        <v>147369</v>
      </c>
      <c r="H768" s="4">
        <v>86123.54</v>
      </c>
      <c r="I768" s="8">
        <v>0</v>
      </c>
      <c r="J768" s="4">
        <v>61245.46</v>
      </c>
      <c r="K768" s="4" t="str">
        <f t="shared" si="44"/>
        <v>September</v>
      </c>
      <c r="L768">
        <f t="shared" si="45"/>
        <v>9</v>
      </c>
      <c r="M768" s="9">
        <f t="shared" si="46"/>
        <v>0.41559256017208501</v>
      </c>
      <c r="N768" s="9">
        <f t="shared" si="47"/>
        <v>1.3647119052134756E-3</v>
      </c>
    </row>
    <row r="769" spans="1:14" x14ac:dyDescent="0.35">
      <c r="A769" s="6">
        <v>44999</v>
      </c>
      <c r="B769" t="s">
        <v>9</v>
      </c>
      <c r="C769" t="s">
        <v>13</v>
      </c>
      <c r="D769" t="s">
        <v>27</v>
      </c>
      <c r="E769" t="s">
        <v>41</v>
      </c>
      <c r="F769" s="4">
        <v>5</v>
      </c>
      <c r="G769" s="4">
        <v>57120</v>
      </c>
      <c r="H769" s="4">
        <v>36507.839999999997</v>
      </c>
      <c r="I769" s="8">
        <v>0.15</v>
      </c>
      <c r="J769" s="4">
        <v>20612.16</v>
      </c>
      <c r="K769" s="4" t="str">
        <f t="shared" si="44"/>
        <v>March</v>
      </c>
      <c r="L769">
        <f t="shared" si="45"/>
        <v>3</v>
      </c>
      <c r="M769" s="9">
        <f t="shared" si="46"/>
        <v>0.36085714285714288</v>
      </c>
      <c r="N769" s="9">
        <f t="shared" si="47"/>
        <v>5.2896025640259293E-4</v>
      </c>
    </row>
    <row r="770" spans="1:14" x14ac:dyDescent="0.35">
      <c r="A770" s="6">
        <v>45132</v>
      </c>
      <c r="B770" t="s">
        <v>11</v>
      </c>
      <c r="C770" t="s">
        <v>17</v>
      </c>
      <c r="D770" t="s">
        <v>28</v>
      </c>
      <c r="E770" t="s">
        <v>36</v>
      </c>
      <c r="F770" s="4">
        <v>4</v>
      </c>
      <c r="G770" s="4">
        <v>56556.800000000003</v>
      </c>
      <c r="H770" s="4">
        <v>44319.94</v>
      </c>
      <c r="I770" s="8">
        <v>0.2</v>
      </c>
      <c r="J770" s="4">
        <v>12236.86</v>
      </c>
      <c r="K770" s="4" t="str">
        <f t="shared" si="44"/>
        <v>July</v>
      </c>
      <c r="L770">
        <f t="shared" si="45"/>
        <v>7</v>
      </c>
      <c r="M770" s="9">
        <f t="shared" si="46"/>
        <v>0.21636408000452642</v>
      </c>
      <c r="N770" s="9">
        <f t="shared" si="47"/>
        <v>5.2374473790809122E-4</v>
      </c>
    </row>
    <row r="771" spans="1:14" x14ac:dyDescent="0.35">
      <c r="A771" s="6">
        <v>45109</v>
      </c>
      <c r="B771" t="s">
        <v>10</v>
      </c>
      <c r="C771" t="s">
        <v>22</v>
      </c>
      <c r="D771" t="s">
        <v>27</v>
      </c>
      <c r="E771" t="s">
        <v>40</v>
      </c>
      <c r="F771" s="4">
        <v>7</v>
      </c>
      <c r="G771" s="4">
        <v>153721.4</v>
      </c>
      <c r="H771" s="4">
        <v>97173.37</v>
      </c>
      <c r="I771" s="8">
        <v>0.05</v>
      </c>
      <c r="J771" s="4">
        <v>56548.03</v>
      </c>
      <c r="K771" s="4" t="str">
        <f t="shared" ref="K771:K834" si="48">TEXT(A771,"mmmm")</f>
        <v>July</v>
      </c>
      <c r="L771">
        <f t="shared" ref="L771:L834" si="49">MONTH(A771)</f>
        <v>7</v>
      </c>
      <c r="M771" s="9">
        <f t="shared" ref="M771:M834" si="50">J771/G771</f>
        <v>0.36786049307383356</v>
      </c>
      <c r="N771" s="9">
        <f t="shared" ref="N771:N834" si="51">G771/SUM(G:G)</f>
        <v>1.4235383606191448E-3</v>
      </c>
    </row>
    <row r="772" spans="1:14" x14ac:dyDescent="0.35">
      <c r="A772" s="6">
        <v>44996</v>
      </c>
      <c r="B772" t="s">
        <v>12</v>
      </c>
      <c r="C772" t="s">
        <v>23</v>
      </c>
      <c r="D772" t="s">
        <v>28</v>
      </c>
      <c r="E772" t="s">
        <v>39</v>
      </c>
      <c r="F772" s="4">
        <v>5</v>
      </c>
      <c r="G772" s="4">
        <v>131023.25</v>
      </c>
      <c r="H772" s="4">
        <v>78837.279999999999</v>
      </c>
      <c r="I772" s="8">
        <v>0.15</v>
      </c>
      <c r="J772" s="4">
        <v>52185.97</v>
      </c>
      <c r="K772" s="4" t="str">
        <f t="shared" si="48"/>
        <v>March</v>
      </c>
      <c r="L772">
        <f t="shared" si="49"/>
        <v>3</v>
      </c>
      <c r="M772" s="9">
        <f t="shared" si="50"/>
        <v>0.39829549335709502</v>
      </c>
      <c r="N772" s="9">
        <f t="shared" si="51"/>
        <v>1.2133419452853822E-3</v>
      </c>
    </row>
    <row r="773" spans="1:14" x14ac:dyDescent="0.35">
      <c r="A773" s="6">
        <v>45140</v>
      </c>
      <c r="B773" t="s">
        <v>9</v>
      </c>
      <c r="C773" t="s">
        <v>20</v>
      </c>
      <c r="D773" t="s">
        <v>25</v>
      </c>
      <c r="E773" t="s">
        <v>32</v>
      </c>
      <c r="F773" s="4">
        <v>3</v>
      </c>
      <c r="G773" s="4">
        <v>8754.15</v>
      </c>
      <c r="H773" s="4">
        <v>6445.71</v>
      </c>
      <c r="I773" s="8">
        <v>0.15</v>
      </c>
      <c r="J773" s="4">
        <v>2308.44</v>
      </c>
      <c r="K773" s="4" t="str">
        <f t="shared" si="48"/>
        <v>August</v>
      </c>
      <c r="L773">
        <f t="shared" si="49"/>
        <v>8</v>
      </c>
      <c r="M773" s="9">
        <f t="shared" si="50"/>
        <v>0.26369664673326365</v>
      </c>
      <c r="N773" s="9">
        <f t="shared" si="51"/>
        <v>8.1067882153129531E-5</v>
      </c>
    </row>
    <row r="774" spans="1:14" x14ac:dyDescent="0.35">
      <c r="A774" s="6">
        <v>45143</v>
      </c>
      <c r="B774" t="s">
        <v>9</v>
      </c>
      <c r="C774" t="s">
        <v>15</v>
      </c>
      <c r="D774" t="s">
        <v>28</v>
      </c>
      <c r="E774" t="s">
        <v>42</v>
      </c>
      <c r="F774" s="4">
        <v>6</v>
      </c>
      <c r="G774" s="4">
        <v>28434</v>
      </c>
      <c r="H774" s="4">
        <v>18270.5</v>
      </c>
      <c r="I774" s="8">
        <v>0</v>
      </c>
      <c r="J774" s="4">
        <v>10163.5</v>
      </c>
      <c r="K774" s="4" t="str">
        <f t="shared" si="48"/>
        <v>August</v>
      </c>
      <c r="L774">
        <f t="shared" si="49"/>
        <v>8</v>
      </c>
      <c r="M774" s="9">
        <f t="shared" si="50"/>
        <v>0.35744179503411411</v>
      </c>
      <c r="N774" s="9">
        <f t="shared" si="51"/>
        <v>2.6331330410629076E-4</v>
      </c>
    </row>
    <row r="775" spans="1:14" x14ac:dyDescent="0.35">
      <c r="A775" s="6">
        <v>45231</v>
      </c>
      <c r="B775" t="s">
        <v>11</v>
      </c>
      <c r="C775" t="s">
        <v>17</v>
      </c>
      <c r="D775" t="s">
        <v>25</v>
      </c>
      <c r="E775" t="s">
        <v>29</v>
      </c>
      <c r="F775" s="4">
        <v>6</v>
      </c>
      <c r="G775" s="4">
        <v>31038.6</v>
      </c>
      <c r="H775" s="4">
        <v>19994.11</v>
      </c>
      <c r="I775" s="8">
        <v>0.15</v>
      </c>
      <c r="J775" s="4">
        <v>11044.49</v>
      </c>
      <c r="K775" s="4" t="str">
        <f t="shared" si="48"/>
        <v>November</v>
      </c>
      <c r="L775">
        <f t="shared" si="49"/>
        <v>11</v>
      </c>
      <c r="M775" s="9">
        <f t="shared" si="50"/>
        <v>0.35583080422441737</v>
      </c>
      <c r="N775" s="9">
        <f t="shared" si="51"/>
        <v>2.8743322504162327E-4</v>
      </c>
    </row>
    <row r="776" spans="1:14" x14ac:dyDescent="0.35">
      <c r="A776" s="6">
        <v>45009</v>
      </c>
      <c r="B776" t="s">
        <v>12</v>
      </c>
      <c r="C776" t="s">
        <v>21</v>
      </c>
      <c r="D776" t="s">
        <v>28</v>
      </c>
      <c r="E776" t="s">
        <v>44</v>
      </c>
      <c r="F776" s="4">
        <v>3</v>
      </c>
      <c r="G776" s="4">
        <v>58536.15</v>
      </c>
      <c r="H776" s="4">
        <v>36833.03</v>
      </c>
      <c r="I776" s="8">
        <v>0.05</v>
      </c>
      <c r="J776" s="4">
        <v>21703.119999999999</v>
      </c>
      <c r="K776" s="4" t="str">
        <f t="shared" si="48"/>
        <v>March</v>
      </c>
      <c r="L776">
        <f t="shared" si="49"/>
        <v>3</v>
      </c>
      <c r="M776" s="9">
        <f t="shared" si="50"/>
        <v>0.37076439089349056</v>
      </c>
      <c r="N776" s="9">
        <f t="shared" si="51"/>
        <v>5.4207452578467505E-4</v>
      </c>
    </row>
    <row r="777" spans="1:14" x14ac:dyDescent="0.35">
      <c r="A777" s="6">
        <v>44962</v>
      </c>
      <c r="B777" t="s">
        <v>10</v>
      </c>
      <c r="C777" t="s">
        <v>14</v>
      </c>
      <c r="D777" t="s">
        <v>25</v>
      </c>
      <c r="E777" t="s">
        <v>33</v>
      </c>
      <c r="F777" s="4">
        <v>5</v>
      </c>
      <c r="G777" s="4">
        <v>154341</v>
      </c>
      <c r="H777" s="4">
        <v>115180.2</v>
      </c>
      <c r="I777" s="8">
        <v>0.1</v>
      </c>
      <c r="J777" s="4">
        <v>39160.800000000003</v>
      </c>
      <c r="K777" s="4" t="str">
        <f t="shared" si="48"/>
        <v>February</v>
      </c>
      <c r="L777">
        <f t="shared" si="49"/>
        <v>2</v>
      </c>
      <c r="M777" s="9">
        <f t="shared" si="50"/>
        <v>0.25372908041285208</v>
      </c>
      <c r="N777" s="9">
        <f t="shared" si="51"/>
        <v>1.4292761718037921E-3</v>
      </c>
    </row>
    <row r="778" spans="1:14" x14ac:dyDescent="0.35">
      <c r="A778" s="6">
        <v>45100</v>
      </c>
      <c r="B778" t="s">
        <v>12</v>
      </c>
      <c r="C778" t="s">
        <v>24</v>
      </c>
      <c r="D778" t="s">
        <v>26</v>
      </c>
      <c r="E778" t="s">
        <v>34</v>
      </c>
      <c r="F778" s="4">
        <v>7</v>
      </c>
      <c r="G778" s="4">
        <v>140567</v>
      </c>
      <c r="H778" s="4">
        <v>79201.5</v>
      </c>
      <c r="I778" s="8">
        <v>0</v>
      </c>
      <c r="J778" s="4">
        <v>61365.5</v>
      </c>
      <c r="K778" s="4" t="str">
        <f t="shared" si="48"/>
        <v>June</v>
      </c>
      <c r="L778">
        <f t="shared" si="49"/>
        <v>6</v>
      </c>
      <c r="M778" s="9">
        <f t="shared" si="50"/>
        <v>0.43655694437528014</v>
      </c>
      <c r="N778" s="9">
        <f t="shared" si="51"/>
        <v>1.3017219251005476E-3</v>
      </c>
    </row>
    <row r="779" spans="1:14" x14ac:dyDescent="0.35">
      <c r="A779" s="6">
        <v>45001</v>
      </c>
      <c r="B779" t="s">
        <v>11</v>
      </c>
      <c r="C779" t="s">
        <v>17</v>
      </c>
      <c r="D779" t="s">
        <v>28</v>
      </c>
      <c r="E779" t="s">
        <v>42</v>
      </c>
      <c r="F779" s="4">
        <v>3</v>
      </c>
      <c r="G779" s="4">
        <v>21480.45</v>
      </c>
      <c r="H779" s="4">
        <v>12156.24</v>
      </c>
      <c r="I779" s="8">
        <v>0.05</v>
      </c>
      <c r="J779" s="4">
        <v>9324.2099999999991</v>
      </c>
      <c r="K779" s="4" t="str">
        <f t="shared" si="48"/>
        <v>March</v>
      </c>
      <c r="L779">
        <f t="shared" si="49"/>
        <v>3</v>
      </c>
      <c r="M779" s="9">
        <f t="shared" si="50"/>
        <v>0.43407889499521651</v>
      </c>
      <c r="N779" s="9">
        <f t="shared" si="51"/>
        <v>1.9891989390131439E-4</v>
      </c>
    </row>
    <row r="780" spans="1:14" x14ac:dyDescent="0.35">
      <c r="A780" s="6">
        <v>45202</v>
      </c>
      <c r="B780" t="s">
        <v>10</v>
      </c>
      <c r="C780" t="s">
        <v>14</v>
      </c>
      <c r="D780" t="s">
        <v>28</v>
      </c>
      <c r="E780" t="s">
        <v>42</v>
      </c>
      <c r="F780" s="4">
        <v>2</v>
      </c>
      <c r="G780" s="4">
        <v>85723.199999999997</v>
      </c>
      <c r="H780" s="4">
        <v>64548.42</v>
      </c>
      <c r="I780" s="8">
        <v>0.1</v>
      </c>
      <c r="J780" s="4">
        <v>21174.78</v>
      </c>
      <c r="K780" s="4" t="str">
        <f t="shared" si="48"/>
        <v>October</v>
      </c>
      <c r="L780">
        <f t="shared" si="49"/>
        <v>10</v>
      </c>
      <c r="M780" s="9">
        <f t="shared" si="50"/>
        <v>0.24701341060529705</v>
      </c>
      <c r="N780" s="9">
        <f t="shared" si="51"/>
        <v>7.9384043857931986E-4</v>
      </c>
    </row>
    <row r="781" spans="1:14" x14ac:dyDescent="0.35">
      <c r="A781" s="6">
        <v>45126</v>
      </c>
      <c r="B781" t="s">
        <v>11</v>
      </c>
      <c r="C781" t="s">
        <v>18</v>
      </c>
      <c r="D781" t="s">
        <v>25</v>
      </c>
      <c r="E781" t="s">
        <v>29</v>
      </c>
      <c r="F781" s="4">
        <v>1</v>
      </c>
      <c r="G781" s="4">
        <v>26720</v>
      </c>
      <c r="H781" s="4">
        <v>18689.57</v>
      </c>
      <c r="I781" s="8">
        <v>0</v>
      </c>
      <c r="J781" s="4">
        <v>8030.43</v>
      </c>
      <c r="K781" s="4" t="str">
        <f t="shared" si="48"/>
        <v>July</v>
      </c>
      <c r="L781">
        <f t="shared" si="49"/>
        <v>7</v>
      </c>
      <c r="M781" s="9">
        <f t="shared" si="50"/>
        <v>0.30054004491017966</v>
      </c>
      <c r="N781" s="9">
        <f t="shared" si="51"/>
        <v>2.4744079221073676E-4</v>
      </c>
    </row>
    <row r="782" spans="1:14" x14ac:dyDescent="0.35">
      <c r="A782" s="6">
        <v>45209</v>
      </c>
      <c r="B782" t="s">
        <v>11</v>
      </c>
      <c r="C782" t="s">
        <v>18</v>
      </c>
      <c r="D782" t="s">
        <v>26</v>
      </c>
      <c r="E782" t="s">
        <v>35</v>
      </c>
      <c r="F782" s="4">
        <v>3</v>
      </c>
      <c r="G782" s="4">
        <v>49711.199999999997</v>
      </c>
      <c r="H782" s="4">
        <v>28007.72</v>
      </c>
      <c r="I782" s="8">
        <v>0.2</v>
      </c>
      <c r="J782" s="4">
        <v>21703.48</v>
      </c>
      <c r="K782" s="4" t="str">
        <f t="shared" si="48"/>
        <v>October</v>
      </c>
      <c r="L782">
        <f t="shared" si="49"/>
        <v>10</v>
      </c>
      <c r="M782" s="9">
        <f t="shared" si="50"/>
        <v>0.43659135164711377</v>
      </c>
      <c r="N782" s="9">
        <f t="shared" si="51"/>
        <v>4.6035099961625657E-4</v>
      </c>
    </row>
    <row r="783" spans="1:14" x14ac:dyDescent="0.35">
      <c r="A783" s="6">
        <v>45224</v>
      </c>
      <c r="B783" t="s">
        <v>12</v>
      </c>
      <c r="C783" t="s">
        <v>21</v>
      </c>
      <c r="D783" t="s">
        <v>26</v>
      </c>
      <c r="E783" t="s">
        <v>34</v>
      </c>
      <c r="F783" s="4">
        <v>7</v>
      </c>
      <c r="G783" s="4">
        <v>148057</v>
      </c>
      <c r="H783" s="4">
        <v>111803.47</v>
      </c>
      <c r="I783" s="8">
        <v>0</v>
      </c>
      <c r="J783" s="4">
        <v>36253.53</v>
      </c>
      <c r="K783" s="4" t="str">
        <f t="shared" si="48"/>
        <v>October</v>
      </c>
      <c r="L783">
        <f t="shared" si="49"/>
        <v>10</v>
      </c>
      <c r="M783" s="9">
        <f t="shared" si="50"/>
        <v>0.24486197883247668</v>
      </c>
      <c r="N783" s="9">
        <f t="shared" si="51"/>
        <v>1.3710831351925544E-3</v>
      </c>
    </row>
    <row r="784" spans="1:14" x14ac:dyDescent="0.35">
      <c r="A784" s="6">
        <v>45135</v>
      </c>
      <c r="B784" t="s">
        <v>12</v>
      </c>
      <c r="C784" t="s">
        <v>23</v>
      </c>
      <c r="D784" t="s">
        <v>28</v>
      </c>
      <c r="E784" t="s">
        <v>42</v>
      </c>
      <c r="F784" s="4">
        <v>4</v>
      </c>
      <c r="G784" s="4">
        <v>141920</v>
      </c>
      <c r="H784" s="4">
        <v>88979.37</v>
      </c>
      <c r="I784" s="8">
        <v>0</v>
      </c>
      <c r="J784" s="4">
        <v>52940.63</v>
      </c>
      <c r="K784" s="4" t="str">
        <f t="shared" si="48"/>
        <v>July</v>
      </c>
      <c r="L784">
        <f t="shared" si="49"/>
        <v>7</v>
      </c>
      <c r="M784" s="9">
        <f t="shared" si="50"/>
        <v>0.37303149661781282</v>
      </c>
      <c r="N784" s="9">
        <f t="shared" si="51"/>
        <v>1.3142513933588234E-3</v>
      </c>
    </row>
    <row r="785" spans="1:14" x14ac:dyDescent="0.35">
      <c r="A785" s="6">
        <v>45179</v>
      </c>
      <c r="B785" t="s">
        <v>9</v>
      </c>
      <c r="C785" t="s">
        <v>13</v>
      </c>
      <c r="D785" t="s">
        <v>26</v>
      </c>
      <c r="E785" t="s">
        <v>30</v>
      </c>
      <c r="F785" s="4">
        <v>3</v>
      </c>
      <c r="G785" s="4">
        <v>90825.3</v>
      </c>
      <c r="H785" s="4">
        <v>69001.2</v>
      </c>
      <c r="I785" s="8">
        <v>0.1</v>
      </c>
      <c r="J785" s="4">
        <v>21824.1</v>
      </c>
      <c r="K785" s="4" t="str">
        <f t="shared" si="48"/>
        <v>September</v>
      </c>
      <c r="L785">
        <f t="shared" si="49"/>
        <v>9</v>
      </c>
      <c r="M785" s="9">
        <f t="shared" si="50"/>
        <v>0.24028657213353546</v>
      </c>
      <c r="N785" s="9">
        <f t="shared" si="51"/>
        <v>8.4108847996923019E-4</v>
      </c>
    </row>
    <row r="786" spans="1:14" x14ac:dyDescent="0.35">
      <c r="A786" s="6">
        <v>45132</v>
      </c>
      <c r="B786" t="s">
        <v>12</v>
      </c>
      <c r="C786" t="s">
        <v>21</v>
      </c>
      <c r="D786" t="s">
        <v>25</v>
      </c>
      <c r="E786" t="s">
        <v>33</v>
      </c>
      <c r="F786" s="4">
        <v>4</v>
      </c>
      <c r="G786" s="4">
        <v>171604.2</v>
      </c>
      <c r="H786" s="4">
        <v>111876.42</v>
      </c>
      <c r="I786" s="8">
        <v>0.05</v>
      </c>
      <c r="J786" s="4">
        <v>59727.78</v>
      </c>
      <c r="K786" s="4" t="str">
        <f t="shared" si="48"/>
        <v>July</v>
      </c>
      <c r="L786">
        <f t="shared" si="49"/>
        <v>7</v>
      </c>
      <c r="M786" s="9">
        <f t="shared" si="50"/>
        <v>0.34805546717388031</v>
      </c>
      <c r="N786" s="9">
        <f t="shared" si="51"/>
        <v>1.5891421854300042E-3</v>
      </c>
    </row>
    <row r="787" spans="1:14" x14ac:dyDescent="0.35">
      <c r="A787" s="6">
        <v>45190</v>
      </c>
      <c r="B787" t="s">
        <v>10</v>
      </c>
      <c r="C787" t="s">
        <v>22</v>
      </c>
      <c r="D787" t="s">
        <v>25</v>
      </c>
      <c r="E787" t="s">
        <v>32</v>
      </c>
      <c r="F787" s="4">
        <v>3</v>
      </c>
      <c r="G787" s="4">
        <v>113093.7</v>
      </c>
      <c r="H787" s="4">
        <v>80052.7</v>
      </c>
      <c r="I787" s="8">
        <v>0.05</v>
      </c>
      <c r="J787" s="4">
        <v>33041</v>
      </c>
      <c r="K787" s="4" t="str">
        <f t="shared" si="48"/>
        <v>September</v>
      </c>
      <c r="L787">
        <f t="shared" si="49"/>
        <v>9</v>
      </c>
      <c r="M787" s="9">
        <f t="shared" si="50"/>
        <v>0.29215597332123716</v>
      </c>
      <c r="N787" s="9">
        <f t="shared" si="51"/>
        <v>1.047305191693241E-3</v>
      </c>
    </row>
    <row r="788" spans="1:14" x14ac:dyDescent="0.35">
      <c r="A788" s="6">
        <v>45278</v>
      </c>
      <c r="B788" t="s">
        <v>9</v>
      </c>
      <c r="C788" t="s">
        <v>15</v>
      </c>
      <c r="D788" t="s">
        <v>28</v>
      </c>
      <c r="E788" t="s">
        <v>42</v>
      </c>
      <c r="F788" s="4">
        <v>5</v>
      </c>
      <c r="G788" s="4">
        <v>184053</v>
      </c>
      <c r="H788" s="4">
        <v>136912.67000000001</v>
      </c>
      <c r="I788" s="8">
        <v>0.05</v>
      </c>
      <c r="J788" s="4">
        <v>47140.33</v>
      </c>
      <c r="K788" s="4" t="str">
        <f t="shared" si="48"/>
        <v>December</v>
      </c>
      <c r="L788">
        <f t="shared" si="49"/>
        <v>12</v>
      </c>
      <c r="M788" s="9">
        <f t="shared" si="50"/>
        <v>0.25612367089914317</v>
      </c>
      <c r="N788" s="9">
        <f t="shared" si="51"/>
        <v>1.7044244060165693E-3</v>
      </c>
    </row>
    <row r="789" spans="1:14" x14ac:dyDescent="0.35">
      <c r="A789" s="6">
        <v>45162</v>
      </c>
      <c r="B789" t="s">
        <v>12</v>
      </c>
      <c r="C789" t="s">
        <v>24</v>
      </c>
      <c r="D789" t="s">
        <v>26</v>
      </c>
      <c r="E789" t="s">
        <v>43</v>
      </c>
      <c r="F789" s="4">
        <v>5</v>
      </c>
      <c r="G789" s="4">
        <v>201799</v>
      </c>
      <c r="H789" s="4">
        <v>129612.28</v>
      </c>
      <c r="I789" s="8">
        <v>0.05</v>
      </c>
      <c r="J789" s="4">
        <v>72186.720000000001</v>
      </c>
      <c r="K789" s="4" t="str">
        <f t="shared" si="48"/>
        <v>August</v>
      </c>
      <c r="L789">
        <f t="shared" si="49"/>
        <v>8</v>
      </c>
      <c r="M789" s="9">
        <f t="shared" si="50"/>
        <v>0.35771594507405885</v>
      </c>
      <c r="N789" s="9">
        <f t="shared" si="51"/>
        <v>1.8687613932385654E-3</v>
      </c>
    </row>
    <row r="790" spans="1:14" x14ac:dyDescent="0.35">
      <c r="A790" s="6">
        <v>45118</v>
      </c>
      <c r="B790" t="s">
        <v>10</v>
      </c>
      <c r="C790" t="s">
        <v>14</v>
      </c>
      <c r="D790" t="s">
        <v>27</v>
      </c>
      <c r="E790" t="s">
        <v>41</v>
      </c>
      <c r="F790" s="4">
        <v>2</v>
      </c>
      <c r="G790" s="4">
        <v>44200</v>
      </c>
      <c r="H790" s="4">
        <v>24677.61</v>
      </c>
      <c r="I790" s="8">
        <v>0.2</v>
      </c>
      <c r="J790" s="4">
        <v>19522.39</v>
      </c>
      <c r="K790" s="4" t="str">
        <f t="shared" si="48"/>
        <v>July</v>
      </c>
      <c r="L790">
        <f t="shared" si="49"/>
        <v>7</v>
      </c>
      <c r="M790" s="9">
        <f t="shared" si="50"/>
        <v>0.44168303167420814</v>
      </c>
      <c r="N790" s="9">
        <f t="shared" si="51"/>
        <v>4.0931448412105404E-4</v>
      </c>
    </row>
    <row r="791" spans="1:14" x14ac:dyDescent="0.35">
      <c r="A791" s="6">
        <v>45015</v>
      </c>
      <c r="B791" t="s">
        <v>12</v>
      </c>
      <c r="C791" t="s">
        <v>23</v>
      </c>
      <c r="D791" t="s">
        <v>28</v>
      </c>
      <c r="E791" t="s">
        <v>36</v>
      </c>
      <c r="F791" s="4">
        <v>3</v>
      </c>
      <c r="G791" s="4">
        <v>43163.25</v>
      </c>
      <c r="H791" s="4">
        <v>24531.45</v>
      </c>
      <c r="I791" s="8">
        <v>0.05</v>
      </c>
      <c r="J791" s="4">
        <v>18631.8</v>
      </c>
      <c r="K791" s="4" t="str">
        <f t="shared" si="48"/>
        <v>March</v>
      </c>
      <c r="L791">
        <f t="shared" si="49"/>
        <v>3</v>
      </c>
      <c r="M791" s="9">
        <f t="shared" si="50"/>
        <v>0.43165887647477885</v>
      </c>
      <c r="N791" s="9">
        <f t="shared" si="51"/>
        <v>3.9971365173615582E-4</v>
      </c>
    </row>
    <row r="792" spans="1:14" x14ac:dyDescent="0.35">
      <c r="A792" s="6">
        <v>45198</v>
      </c>
      <c r="B792" t="s">
        <v>11</v>
      </c>
      <c r="C792" t="s">
        <v>18</v>
      </c>
      <c r="D792" t="s">
        <v>27</v>
      </c>
      <c r="E792" t="s">
        <v>31</v>
      </c>
      <c r="F792" s="4">
        <v>5</v>
      </c>
      <c r="G792" s="4">
        <v>65216</v>
      </c>
      <c r="H792" s="4">
        <v>49199.33</v>
      </c>
      <c r="I792" s="8">
        <v>0.2</v>
      </c>
      <c r="J792" s="4">
        <v>16016.67</v>
      </c>
      <c r="K792" s="4" t="str">
        <f t="shared" si="48"/>
        <v>September</v>
      </c>
      <c r="L792">
        <f t="shared" si="49"/>
        <v>9</v>
      </c>
      <c r="M792" s="9">
        <f t="shared" si="50"/>
        <v>0.24559417934249264</v>
      </c>
      <c r="N792" s="9">
        <f t="shared" si="51"/>
        <v>6.0393333476105565E-4</v>
      </c>
    </row>
    <row r="793" spans="1:14" x14ac:dyDescent="0.35">
      <c r="A793" s="6">
        <v>45058</v>
      </c>
      <c r="B793" t="s">
        <v>10</v>
      </c>
      <c r="C793" t="s">
        <v>19</v>
      </c>
      <c r="D793" t="s">
        <v>26</v>
      </c>
      <c r="E793" t="s">
        <v>43</v>
      </c>
      <c r="F793" s="4">
        <v>3</v>
      </c>
      <c r="G793" s="4">
        <v>69323.399999999994</v>
      </c>
      <c r="H793" s="4">
        <v>38926.18</v>
      </c>
      <c r="I793" s="8">
        <v>0.05</v>
      </c>
      <c r="J793" s="4">
        <v>30397.22</v>
      </c>
      <c r="K793" s="4" t="str">
        <f t="shared" si="48"/>
        <v>May</v>
      </c>
      <c r="L793">
        <f t="shared" si="49"/>
        <v>5</v>
      </c>
      <c r="M793" s="9">
        <f t="shared" si="50"/>
        <v>0.4384842636108443</v>
      </c>
      <c r="N793" s="9">
        <f t="shared" si="51"/>
        <v>6.4196994815650399E-4</v>
      </c>
    </row>
    <row r="794" spans="1:14" x14ac:dyDescent="0.35">
      <c r="A794" s="6">
        <v>45074</v>
      </c>
      <c r="B794" t="s">
        <v>12</v>
      </c>
      <c r="C794" t="s">
        <v>21</v>
      </c>
      <c r="D794" t="s">
        <v>28</v>
      </c>
      <c r="E794" t="s">
        <v>36</v>
      </c>
      <c r="F794" s="4">
        <v>6</v>
      </c>
      <c r="G794" s="4">
        <v>67992</v>
      </c>
      <c r="H794" s="4">
        <v>44794.19</v>
      </c>
      <c r="I794" s="8">
        <v>0</v>
      </c>
      <c r="J794" s="4">
        <v>23197.81</v>
      </c>
      <c r="K794" s="4" t="str">
        <f t="shared" si="48"/>
        <v>May</v>
      </c>
      <c r="L794">
        <f t="shared" si="49"/>
        <v>5</v>
      </c>
      <c r="M794" s="9">
        <f t="shared" si="50"/>
        <v>0.34118440404753503</v>
      </c>
      <c r="N794" s="9">
        <f t="shared" si="51"/>
        <v>6.2964050688594359E-4</v>
      </c>
    </row>
    <row r="795" spans="1:14" x14ac:dyDescent="0.35">
      <c r="A795" s="6">
        <v>45191</v>
      </c>
      <c r="B795" t="s">
        <v>11</v>
      </c>
      <c r="C795" t="s">
        <v>17</v>
      </c>
      <c r="D795" t="s">
        <v>27</v>
      </c>
      <c r="E795" t="s">
        <v>38</v>
      </c>
      <c r="F795" s="4">
        <v>1</v>
      </c>
      <c r="G795" s="4">
        <v>38114</v>
      </c>
      <c r="H795" s="4">
        <v>23055.49</v>
      </c>
      <c r="I795" s="8">
        <v>0.05</v>
      </c>
      <c r="J795" s="4">
        <v>15058.51</v>
      </c>
      <c r="K795" s="4" t="str">
        <f t="shared" si="48"/>
        <v>September</v>
      </c>
      <c r="L795">
        <f t="shared" si="49"/>
        <v>9</v>
      </c>
      <c r="M795" s="9">
        <f t="shared" si="50"/>
        <v>0.39509130503227163</v>
      </c>
      <c r="N795" s="9">
        <f t="shared" si="51"/>
        <v>3.5295502823053972E-4</v>
      </c>
    </row>
    <row r="796" spans="1:14" x14ac:dyDescent="0.35">
      <c r="A796" s="6">
        <v>45023</v>
      </c>
      <c r="B796" t="s">
        <v>9</v>
      </c>
      <c r="C796" t="s">
        <v>20</v>
      </c>
      <c r="D796" t="s">
        <v>26</v>
      </c>
      <c r="E796" t="s">
        <v>34</v>
      </c>
      <c r="F796" s="4">
        <v>6</v>
      </c>
      <c r="G796" s="4">
        <v>172747.2</v>
      </c>
      <c r="H796" s="4">
        <v>100209.08</v>
      </c>
      <c r="I796" s="8">
        <v>0.2</v>
      </c>
      <c r="J796" s="4">
        <v>72538.12</v>
      </c>
      <c r="K796" s="4" t="str">
        <f t="shared" si="48"/>
        <v>April</v>
      </c>
      <c r="L796">
        <f t="shared" si="49"/>
        <v>4</v>
      </c>
      <c r="M796" s="9">
        <f t="shared" si="50"/>
        <v>0.4199090925931071</v>
      </c>
      <c r="N796" s="9">
        <f t="shared" si="51"/>
        <v>1.5997269468632704E-3</v>
      </c>
    </row>
    <row r="797" spans="1:14" x14ac:dyDescent="0.35">
      <c r="A797" s="6">
        <v>45008</v>
      </c>
      <c r="B797" t="s">
        <v>10</v>
      </c>
      <c r="C797" t="s">
        <v>22</v>
      </c>
      <c r="D797" t="s">
        <v>27</v>
      </c>
      <c r="E797" t="s">
        <v>40</v>
      </c>
      <c r="F797" s="4">
        <v>1</v>
      </c>
      <c r="G797" s="4">
        <v>607.75</v>
      </c>
      <c r="H797" s="4">
        <v>412.11</v>
      </c>
      <c r="I797" s="8">
        <v>0.15</v>
      </c>
      <c r="J797" s="4">
        <v>195.64</v>
      </c>
      <c r="K797" s="4" t="str">
        <f t="shared" si="48"/>
        <v>March</v>
      </c>
      <c r="L797">
        <f t="shared" si="49"/>
        <v>3</v>
      </c>
      <c r="M797" s="9">
        <f t="shared" si="50"/>
        <v>0.32190867955573838</v>
      </c>
      <c r="N797" s="9">
        <f t="shared" si="51"/>
        <v>5.6280741566644933E-6</v>
      </c>
    </row>
    <row r="798" spans="1:14" x14ac:dyDescent="0.35">
      <c r="A798" s="6">
        <v>45114</v>
      </c>
      <c r="B798" t="s">
        <v>9</v>
      </c>
      <c r="C798" t="s">
        <v>15</v>
      </c>
      <c r="D798" t="s">
        <v>25</v>
      </c>
      <c r="E798" t="s">
        <v>37</v>
      </c>
      <c r="F798" s="4">
        <v>1</v>
      </c>
      <c r="G798" s="4">
        <v>10845</v>
      </c>
      <c r="H798" s="4">
        <v>7996.5</v>
      </c>
      <c r="I798" s="8">
        <v>0</v>
      </c>
      <c r="J798" s="4">
        <v>2848.5</v>
      </c>
      <c r="K798" s="4" t="str">
        <f t="shared" si="48"/>
        <v>July</v>
      </c>
      <c r="L798">
        <f t="shared" si="49"/>
        <v>7</v>
      </c>
      <c r="M798" s="9">
        <f t="shared" si="50"/>
        <v>0.26265560165975105</v>
      </c>
      <c r="N798" s="9">
        <f t="shared" si="51"/>
        <v>1.0043021674870659E-4</v>
      </c>
    </row>
    <row r="799" spans="1:14" x14ac:dyDescent="0.35">
      <c r="A799" s="6">
        <v>45039</v>
      </c>
      <c r="B799" t="s">
        <v>10</v>
      </c>
      <c r="C799" t="s">
        <v>19</v>
      </c>
      <c r="D799" t="s">
        <v>26</v>
      </c>
      <c r="E799" t="s">
        <v>34</v>
      </c>
      <c r="F799" s="4">
        <v>7</v>
      </c>
      <c r="G799" s="4">
        <v>43231.65</v>
      </c>
      <c r="H799" s="4">
        <v>26744.25</v>
      </c>
      <c r="I799" s="8">
        <v>0.05</v>
      </c>
      <c r="J799" s="4">
        <v>16487.400000000001</v>
      </c>
      <c r="K799" s="4" t="str">
        <f t="shared" si="48"/>
        <v>April</v>
      </c>
      <c r="L799">
        <f t="shared" si="49"/>
        <v>4</v>
      </c>
      <c r="M799" s="9">
        <f t="shared" si="50"/>
        <v>0.38137336881659617</v>
      </c>
      <c r="N799" s="9">
        <f t="shared" si="51"/>
        <v>4.0034707053058751E-4</v>
      </c>
    </row>
    <row r="800" spans="1:14" x14ac:dyDescent="0.35">
      <c r="A800" s="6">
        <v>45005</v>
      </c>
      <c r="B800" t="s">
        <v>12</v>
      </c>
      <c r="C800" t="s">
        <v>24</v>
      </c>
      <c r="D800" t="s">
        <v>28</v>
      </c>
      <c r="E800" t="s">
        <v>39</v>
      </c>
      <c r="F800" s="4">
        <v>1</v>
      </c>
      <c r="G800" s="4">
        <v>655.20000000000005</v>
      </c>
      <c r="H800" s="4">
        <v>471.02</v>
      </c>
      <c r="I800" s="8">
        <v>0.1</v>
      </c>
      <c r="J800" s="4">
        <v>184.18</v>
      </c>
      <c r="K800" s="4" t="str">
        <f t="shared" si="48"/>
        <v>March</v>
      </c>
      <c r="L800">
        <f t="shared" si="49"/>
        <v>3</v>
      </c>
      <c r="M800" s="9">
        <f t="shared" si="50"/>
        <v>0.28110500610500611</v>
      </c>
      <c r="N800" s="9">
        <f t="shared" si="51"/>
        <v>6.0674852940297429E-6</v>
      </c>
    </row>
    <row r="801" spans="1:14" x14ac:dyDescent="0.35">
      <c r="A801" s="6">
        <v>45249</v>
      </c>
      <c r="B801" t="s">
        <v>10</v>
      </c>
      <c r="C801" t="s">
        <v>22</v>
      </c>
      <c r="D801" t="s">
        <v>28</v>
      </c>
      <c r="E801" t="s">
        <v>42</v>
      </c>
      <c r="F801" s="4">
        <v>6</v>
      </c>
      <c r="G801" s="4">
        <v>18861.3</v>
      </c>
      <c r="H801" s="4">
        <v>12546.22</v>
      </c>
      <c r="I801" s="8">
        <v>0.05</v>
      </c>
      <c r="J801" s="4">
        <v>6315.08</v>
      </c>
      <c r="K801" s="4" t="str">
        <f t="shared" si="48"/>
        <v>November</v>
      </c>
      <c r="L801">
        <f t="shared" si="49"/>
        <v>11</v>
      </c>
      <c r="M801" s="9">
        <f t="shared" si="50"/>
        <v>0.33481679417643534</v>
      </c>
      <c r="N801" s="9">
        <f t="shared" si="51"/>
        <v>1.7466523256453478E-4</v>
      </c>
    </row>
    <row r="802" spans="1:14" x14ac:dyDescent="0.35">
      <c r="A802" s="6">
        <v>45231</v>
      </c>
      <c r="B802" t="s">
        <v>9</v>
      </c>
      <c r="C802" t="s">
        <v>20</v>
      </c>
      <c r="D802" t="s">
        <v>28</v>
      </c>
      <c r="E802" t="s">
        <v>42</v>
      </c>
      <c r="F802" s="4">
        <v>6</v>
      </c>
      <c r="G802" s="4">
        <v>215648.1</v>
      </c>
      <c r="H802" s="4">
        <v>147632.42000000001</v>
      </c>
      <c r="I802" s="8">
        <v>0.05</v>
      </c>
      <c r="J802" s="4">
        <v>68015.679999999993</v>
      </c>
      <c r="K802" s="4" t="str">
        <f t="shared" si="48"/>
        <v>November</v>
      </c>
      <c r="L802">
        <f t="shared" si="49"/>
        <v>11</v>
      </c>
      <c r="M802" s="9">
        <f t="shared" si="50"/>
        <v>0.31540124860826502</v>
      </c>
      <c r="N802" s="9">
        <f t="shared" si="51"/>
        <v>1.9970111041444677E-3</v>
      </c>
    </row>
    <row r="803" spans="1:14" x14ac:dyDescent="0.35">
      <c r="A803" s="6">
        <v>45258</v>
      </c>
      <c r="B803" t="s">
        <v>11</v>
      </c>
      <c r="C803" t="s">
        <v>18</v>
      </c>
      <c r="D803" t="s">
        <v>25</v>
      </c>
      <c r="E803" t="s">
        <v>33</v>
      </c>
      <c r="F803" s="4">
        <v>5</v>
      </c>
      <c r="G803" s="4">
        <v>178945</v>
      </c>
      <c r="H803" s="4">
        <v>98732.11</v>
      </c>
      <c r="I803" s="8">
        <v>0</v>
      </c>
      <c r="J803" s="4">
        <v>80212.89</v>
      </c>
      <c r="K803" s="4" t="str">
        <f t="shared" si="48"/>
        <v>November</v>
      </c>
      <c r="L803">
        <f t="shared" si="49"/>
        <v>11</v>
      </c>
      <c r="M803" s="9">
        <f t="shared" si="50"/>
        <v>0.44825443572047274</v>
      </c>
      <c r="N803" s="9">
        <f t="shared" si="51"/>
        <v>1.657121727625385E-3</v>
      </c>
    </row>
    <row r="804" spans="1:14" x14ac:dyDescent="0.35">
      <c r="A804" s="6">
        <v>45254</v>
      </c>
      <c r="B804" t="s">
        <v>10</v>
      </c>
      <c r="C804" t="s">
        <v>22</v>
      </c>
      <c r="D804" t="s">
        <v>26</v>
      </c>
      <c r="E804" t="s">
        <v>35</v>
      </c>
      <c r="F804" s="4">
        <v>6</v>
      </c>
      <c r="G804" s="4">
        <v>102423.3</v>
      </c>
      <c r="H804" s="4">
        <v>77522.240000000005</v>
      </c>
      <c r="I804" s="8">
        <v>0.15</v>
      </c>
      <c r="J804" s="4">
        <v>24901.06</v>
      </c>
      <c r="K804" s="4" t="str">
        <f t="shared" si="48"/>
        <v>November</v>
      </c>
      <c r="L804">
        <f t="shared" si="49"/>
        <v>11</v>
      </c>
      <c r="M804" s="9">
        <f t="shared" si="50"/>
        <v>0.24311909497155432</v>
      </c>
      <c r="N804" s="9">
        <f t="shared" si="51"/>
        <v>9.4849185976189946E-4</v>
      </c>
    </row>
    <row r="805" spans="1:14" x14ac:dyDescent="0.35">
      <c r="A805" s="6">
        <v>45025</v>
      </c>
      <c r="B805" t="s">
        <v>12</v>
      </c>
      <c r="C805" t="s">
        <v>24</v>
      </c>
      <c r="D805" t="s">
        <v>27</v>
      </c>
      <c r="E805" t="s">
        <v>38</v>
      </c>
      <c r="F805" s="4">
        <v>7</v>
      </c>
      <c r="G805" s="4">
        <v>176106</v>
      </c>
      <c r="H805" s="4">
        <v>109685.91</v>
      </c>
      <c r="I805" s="8">
        <v>0</v>
      </c>
      <c r="J805" s="4">
        <v>66420.09</v>
      </c>
      <c r="K805" s="4" t="str">
        <f t="shared" si="48"/>
        <v>April</v>
      </c>
      <c r="L805">
        <f t="shared" si="49"/>
        <v>4</v>
      </c>
      <c r="M805" s="9">
        <f t="shared" si="50"/>
        <v>0.37715972198562225</v>
      </c>
      <c r="N805" s="9">
        <f t="shared" si="51"/>
        <v>1.6308311434529942E-3</v>
      </c>
    </row>
    <row r="806" spans="1:14" x14ac:dyDescent="0.35">
      <c r="A806" s="6">
        <v>44968</v>
      </c>
      <c r="B806" t="s">
        <v>10</v>
      </c>
      <c r="C806" t="s">
        <v>19</v>
      </c>
      <c r="D806" t="s">
        <v>27</v>
      </c>
      <c r="E806" t="s">
        <v>41</v>
      </c>
      <c r="F806" s="4">
        <v>3</v>
      </c>
      <c r="G806" s="4">
        <v>107383.2</v>
      </c>
      <c r="H806" s="4">
        <v>78857.119999999995</v>
      </c>
      <c r="I806" s="8">
        <v>0.2</v>
      </c>
      <c r="J806" s="4">
        <v>28526.080000000002</v>
      </c>
      <c r="K806" s="4" t="str">
        <f t="shared" si="48"/>
        <v>February</v>
      </c>
      <c r="L806">
        <f t="shared" si="49"/>
        <v>2</v>
      </c>
      <c r="M806" s="9">
        <f t="shared" si="50"/>
        <v>0.26564751283254739</v>
      </c>
      <c r="N806" s="9">
        <f t="shared" si="51"/>
        <v>9.9442305681601752E-4</v>
      </c>
    </row>
    <row r="807" spans="1:14" x14ac:dyDescent="0.35">
      <c r="A807" s="6">
        <v>45133</v>
      </c>
      <c r="B807" t="s">
        <v>10</v>
      </c>
      <c r="C807" t="s">
        <v>14</v>
      </c>
      <c r="D807" t="s">
        <v>25</v>
      </c>
      <c r="E807" t="s">
        <v>32</v>
      </c>
      <c r="F807" s="4">
        <v>2</v>
      </c>
      <c r="G807" s="4">
        <v>83162</v>
      </c>
      <c r="H807" s="4">
        <v>52280.39</v>
      </c>
      <c r="I807" s="8">
        <v>0</v>
      </c>
      <c r="J807" s="4">
        <v>30881.61</v>
      </c>
      <c r="K807" s="4" t="str">
        <f t="shared" si="48"/>
        <v>July</v>
      </c>
      <c r="L807">
        <f t="shared" si="49"/>
        <v>7</v>
      </c>
      <c r="M807" s="9">
        <f t="shared" si="50"/>
        <v>0.37134280079844162</v>
      </c>
      <c r="N807" s="9">
        <f t="shared" si="51"/>
        <v>7.7012242372115607E-4</v>
      </c>
    </row>
    <row r="808" spans="1:14" x14ac:dyDescent="0.35">
      <c r="A808" s="6">
        <v>45217</v>
      </c>
      <c r="B808" t="s">
        <v>10</v>
      </c>
      <c r="C808" t="s">
        <v>19</v>
      </c>
      <c r="D808" t="s">
        <v>25</v>
      </c>
      <c r="E808" t="s">
        <v>37</v>
      </c>
      <c r="F808" s="4">
        <v>7</v>
      </c>
      <c r="G808" s="4">
        <v>174762</v>
      </c>
      <c r="H808" s="4">
        <v>99200.84</v>
      </c>
      <c r="I808" s="8">
        <v>0</v>
      </c>
      <c r="J808" s="4">
        <v>75561.16</v>
      </c>
      <c r="K808" s="4" t="str">
        <f t="shared" si="48"/>
        <v>October</v>
      </c>
      <c r="L808">
        <f t="shared" si="49"/>
        <v>10</v>
      </c>
      <c r="M808" s="9">
        <f t="shared" si="50"/>
        <v>0.43236607500486379</v>
      </c>
      <c r="N808" s="9">
        <f t="shared" si="51"/>
        <v>1.6183850197729333E-3</v>
      </c>
    </row>
    <row r="809" spans="1:14" x14ac:dyDescent="0.35">
      <c r="A809" s="6">
        <v>45145</v>
      </c>
      <c r="B809" t="s">
        <v>10</v>
      </c>
      <c r="C809" t="s">
        <v>14</v>
      </c>
      <c r="D809" t="s">
        <v>27</v>
      </c>
      <c r="E809" t="s">
        <v>31</v>
      </c>
      <c r="F809" s="4">
        <v>5</v>
      </c>
      <c r="G809" s="4">
        <v>144100</v>
      </c>
      <c r="H809" s="4">
        <v>85446.85</v>
      </c>
      <c r="I809" s="8">
        <v>0.2</v>
      </c>
      <c r="J809" s="4">
        <v>58653.15</v>
      </c>
      <c r="K809" s="4" t="str">
        <f t="shared" si="48"/>
        <v>August</v>
      </c>
      <c r="L809">
        <f t="shared" si="49"/>
        <v>8</v>
      </c>
      <c r="M809" s="9">
        <f t="shared" si="50"/>
        <v>0.40703088133240806</v>
      </c>
      <c r="N809" s="9">
        <f t="shared" si="51"/>
        <v>1.3344393023041604E-3</v>
      </c>
    </row>
    <row r="810" spans="1:14" x14ac:dyDescent="0.35">
      <c r="A810" s="6">
        <v>44991</v>
      </c>
      <c r="B810" t="s">
        <v>12</v>
      </c>
      <c r="C810" t="s">
        <v>23</v>
      </c>
      <c r="D810" t="s">
        <v>26</v>
      </c>
      <c r="E810" t="s">
        <v>30</v>
      </c>
      <c r="F810" s="4">
        <v>3</v>
      </c>
      <c r="G810" s="4">
        <v>1596</v>
      </c>
      <c r="H810" s="4">
        <v>1082</v>
      </c>
      <c r="I810" s="8">
        <v>0.05</v>
      </c>
      <c r="J810" s="4">
        <v>514</v>
      </c>
      <c r="K810" s="4" t="str">
        <f t="shared" si="48"/>
        <v>March</v>
      </c>
      <c r="L810">
        <f t="shared" si="49"/>
        <v>3</v>
      </c>
      <c r="M810" s="9">
        <f t="shared" si="50"/>
        <v>0.32205513784461154</v>
      </c>
      <c r="N810" s="9">
        <f t="shared" si="51"/>
        <v>1.4779771870072449E-5</v>
      </c>
    </row>
    <row r="811" spans="1:14" x14ac:dyDescent="0.35">
      <c r="A811" s="6">
        <v>45034</v>
      </c>
      <c r="B811" t="s">
        <v>11</v>
      </c>
      <c r="C811" t="s">
        <v>18</v>
      </c>
      <c r="D811" t="s">
        <v>26</v>
      </c>
      <c r="E811" t="s">
        <v>35</v>
      </c>
      <c r="F811" s="4">
        <v>1</v>
      </c>
      <c r="G811" s="4">
        <v>10592.7</v>
      </c>
      <c r="H811" s="4">
        <v>7430.58</v>
      </c>
      <c r="I811" s="8">
        <v>0.15</v>
      </c>
      <c r="J811" s="4">
        <v>3162.12</v>
      </c>
      <c r="K811" s="4" t="str">
        <f t="shared" si="48"/>
        <v>April</v>
      </c>
      <c r="L811">
        <f t="shared" si="49"/>
        <v>4</v>
      </c>
      <c r="M811" s="9">
        <f t="shared" si="50"/>
        <v>0.29851879124302583</v>
      </c>
      <c r="N811" s="9">
        <f t="shared" si="51"/>
        <v>9.8093790406088004E-5</v>
      </c>
    </row>
    <row r="812" spans="1:14" x14ac:dyDescent="0.35">
      <c r="A812" s="6">
        <v>45051</v>
      </c>
      <c r="B812" t="s">
        <v>9</v>
      </c>
      <c r="C812" t="s">
        <v>20</v>
      </c>
      <c r="D812" t="s">
        <v>28</v>
      </c>
      <c r="E812" t="s">
        <v>39</v>
      </c>
      <c r="F812" s="4">
        <v>4</v>
      </c>
      <c r="G812" s="4">
        <v>79952.399999999994</v>
      </c>
      <c r="H812" s="4">
        <v>57984.19</v>
      </c>
      <c r="I812" s="8">
        <v>0.1</v>
      </c>
      <c r="J812" s="4">
        <v>21968.21</v>
      </c>
      <c r="K812" s="4" t="str">
        <f t="shared" si="48"/>
        <v>May</v>
      </c>
      <c r="L812">
        <f t="shared" si="49"/>
        <v>5</v>
      </c>
      <c r="M812" s="9">
        <f t="shared" si="50"/>
        <v>0.27476611083594737</v>
      </c>
      <c r="N812" s="9">
        <f t="shared" si="51"/>
        <v>7.4039989502805794E-4</v>
      </c>
    </row>
    <row r="813" spans="1:14" x14ac:dyDescent="0.35">
      <c r="A813" s="6">
        <v>45165</v>
      </c>
      <c r="B813" t="s">
        <v>12</v>
      </c>
      <c r="C813" t="s">
        <v>23</v>
      </c>
      <c r="D813" t="s">
        <v>26</v>
      </c>
      <c r="E813" t="s">
        <v>34</v>
      </c>
      <c r="F813" s="4">
        <v>6</v>
      </c>
      <c r="G813" s="4">
        <v>226338</v>
      </c>
      <c r="H813" s="4">
        <v>162021.94</v>
      </c>
      <c r="I813" s="8">
        <v>0.15</v>
      </c>
      <c r="J813" s="4">
        <v>64316.06</v>
      </c>
      <c r="K813" s="4" t="str">
        <f t="shared" si="48"/>
        <v>August</v>
      </c>
      <c r="L813">
        <f t="shared" si="49"/>
        <v>8</v>
      </c>
      <c r="M813" s="9">
        <f t="shared" si="50"/>
        <v>0.28415935459357244</v>
      </c>
      <c r="N813" s="9">
        <f t="shared" si="51"/>
        <v>2.0960050159952747E-3</v>
      </c>
    </row>
    <row r="814" spans="1:14" x14ac:dyDescent="0.35">
      <c r="A814" s="6">
        <v>44949</v>
      </c>
      <c r="B814" t="s">
        <v>12</v>
      </c>
      <c r="C814" t="s">
        <v>24</v>
      </c>
      <c r="D814" t="s">
        <v>28</v>
      </c>
      <c r="E814" t="s">
        <v>42</v>
      </c>
      <c r="F814" s="4">
        <v>2</v>
      </c>
      <c r="G814" s="4">
        <v>28456</v>
      </c>
      <c r="H814" s="4">
        <v>16973.73</v>
      </c>
      <c r="I814" s="8">
        <v>0.2</v>
      </c>
      <c r="J814" s="4">
        <v>11482.27</v>
      </c>
      <c r="K814" s="4" t="str">
        <f t="shared" si="48"/>
        <v>January</v>
      </c>
      <c r="L814">
        <f t="shared" si="49"/>
        <v>1</v>
      </c>
      <c r="M814" s="9">
        <f t="shared" si="50"/>
        <v>0.40350962890075909</v>
      </c>
      <c r="N814" s="9">
        <f t="shared" si="51"/>
        <v>2.6351703529748223E-4</v>
      </c>
    </row>
    <row r="815" spans="1:14" x14ac:dyDescent="0.35">
      <c r="A815" s="6">
        <v>44962</v>
      </c>
      <c r="B815" t="s">
        <v>10</v>
      </c>
      <c r="C815" t="s">
        <v>14</v>
      </c>
      <c r="D815" t="s">
        <v>25</v>
      </c>
      <c r="E815" t="s">
        <v>29</v>
      </c>
      <c r="F815" s="4">
        <v>4</v>
      </c>
      <c r="G815" s="4">
        <v>188776.4</v>
      </c>
      <c r="H815" s="4">
        <v>138500.93</v>
      </c>
      <c r="I815" s="8">
        <v>0.05</v>
      </c>
      <c r="J815" s="4">
        <v>50275.47</v>
      </c>
      <c r="K815" s="4" t="str">
        <f t="shared" si="48"/>
        <v>February</v>
      </c>
      <c r="L815">
        <f t="shared" si="49"/>
        <v>2</v>
      </c>
      <c r="M815" s="9">
        <f t="shared" si="50"/>
        <v>0.26632285603497047</v>
      </c>
      <c r="N815" s="9">
        <f t="shared" si="51"/>
        <v>1.7481654927653789E-3</v>
      </c>
    </row>
    <row r="816" spans="1:14" x14ac:dyDescent="0.35">
      <c r="A816" s="6">
        <v>45023</v>
      </c>
      <c r="B816" t="s">
        <v>12</v>
      </c>
      <c r="C816" t="s">
        <v>21</v>
      </c>
      <c r="D816" t="s">
        <v>26</v>
      </c>
      <c r="E816" t="s">
        <v>35</v>
      </c>
      <c r="F816" s="4">
        <v>1</v>
      </c>
      <c r="G816" s="4">
        <v>29126.400000000001</v>
      </c>
      <c r="H816" s="4">
        <v>19687.18</v>
      </c>
      <c r="I816" s="8">
        <v>0.2</v>
      </c>
      <c r="J816" s="4">
        <v>9439.2199999999993</v>
      </c>
      <c r="K816" s="4" t="str">
        <f t="shared" si="48"/>
        <v>April</v>
      </c>
      <c r="L816">
        <f t="shared" si="49"/>
        <v>4</v>
      </c>
      <c r="M816" s="9">
        <f t="shared" si="50"/>
        <v>0.32407781256866619</v>
      </c>
      <c r="N816" s="9">
        <f t="shared" si="51"/>
        <v>2.6972528032360792E-4</v>
      </c>
    </row>
    <row r="817" spans="1:14" x14ac:dyDescent="0.35">
      <c r="A817" s="6">
        <v>44993</v>
      </c>
      <c r="B817" t="s">
        <v>11</v>
      </c>
      <c r="C817" t="s">
        <v>17</v>
      </c>
      <c r="D817" t="s">
        <v>28</v>
      </c>
      <c r="E817" t="s">
        <v>42</v>
      </c>
      <c r="F817" s="4">
        <v>6</v>
      </c>
      <c r="G817" s="4">
        <v>235752</v>
      </c>
      <c r="H817" s="4">
        <v>174926.21</v>
      </c>
      <c r="I817" s="8">
        <v>0.05</v>
      </c>
      <c r="J817" s="4">
        <v>60825.79</v>
      </c>
      <c r="K817" s="4" t="str">
        <f t="shared" si="48"/>
        <v>March</v>
      </c>
      <c r="L817">
        <f t="shared" si="49"/>
        <v>3</v>
      </c>
      <c r="M817" s="9">
        <f t="shared" si="50"/>
        <v>0.25800752485662898</v>
      </c>
      <c r="N817" s="9">
        <f t="shared" si="51"/>
        <v>2.1831834448078446E-3</v>
      </c>
    </row>
    <row r="818" spans="1:14" x14ac:dyDescent="0.35">
      <c r="A818" s="6">
        <v>45213</v>
      </c>
      <c r="B818" t="s">
        <v>9</v>
      </c>
      <c r="C818" t="s">
        <v>13</v>
      </c>
      <c r="D818" t="s">
        <v>28</v>
      </c>
      <c r="E818" t="s">
        <v>39</v>
      </c>
      <c r="F818" s="4">
        <v>1</v>
      </c>
      <c r="G818" s="4">
        <v>21249</v>
      </c>
      <c r="H818" s="4">
        <v>16074.55</v>
      </c>
      <c r="I818" s="8">
        <v>0.1</v>
      </c>
      <c r="J818" s="4">
        <v>5174.45</v>
      </c>
      <c r="K818" s="4" t="str">
        <f t="shared" si="48"/>
        <v>October</v>
      </c>
      <c r="L818">
        <f t="shared" si="49"/>
        <v>10</v>
      </c>
      <c r="M818" s="9">
        <f t="shared" si="50"/>
        <v>0.24351498894065601</v>
      </c>
      <c r="N818" s="9">
        <f t="shared" si="51"/>
        <v>1.9677654916489315E-4</v>
      </c>
    </row>
    <row r="819" spans="1:14" x14ac:dyDescent="0.35">
      <c r="A819" s="6">
        <v>45029</v>
      </c>
      <c r="B819" t="s">
        <v>10</v>
      </c>
      <c r="C819" t="s">
        <v>22</v>
      </c>
      <c r="D819" t="s">
        <v>25</v>
      </c>
      <c r="E819" t="s">
        <v>33</v>
      </c>
      <c r="F819" s="4">
        <v>1</v>
      </c>
      <c r="G819" s="4">
        <v>17448.8</v>
      </c>
      <c r="H819" s="4">
        <v>12369.65</v>
      </c>
      <c r="I819" s="8">
        <v>0.15</v>
      </c>
      <c r="J819" s="4">
        <v>5079.1499999999996</v>
      </c>
      <c r="K819" s="4" t="str">
        <f t="shared" si="48"/>
        <v>April</v>
      </c>
      <c r="L819">
        <f t="shared" si="49"/>
        <v>4</v>
      </c>
      <c r="M819" s="9">
        <f t="shared" si="50"/>
        <v>0.29108878547521894</v>
      </c>
      <c r="N819" s="9">
        <f t="shared" si="51"/>
        <v>1.6158476403917304E-4</v>
      </c>
    </row>
    <row r="820" spans="1:14" x14ac:dyDescent="0.35">
      <c r="A820" s="6">
        <v>45135</v>
      </c>
      <c r="B820" t="s">
        <v>10</v>
      </c>
      <c r="C820" t="s">
        <v>22</v>
      </c>
      <c r="D820" t="s">
        <v>28</v>
      </c>
      <c r="E820" t="s">
        <v>36</v>
      </c>
      <c r="F820" s="4">
        <v>6</v>
      </c>
      <c r="G820" s="4">
        <v>148488</v>
      </c>
      <c r="H820" s="4">
        <v>95853.59</v>
      </c>
      <c r="I820" s="8">
        <v>0.2</v>
      </c>
      <c r="J820" s="4">
        <v>52634.41</v>
      </c>
      <c r="K820" s="4" t="str">
        <f t="shared" si="48"/>
        <v>July</v>
      </c>
      <c r="L820">
        <f t="shared" si="49"/>
        <v>7</v>
      </c>
      <c r="M820" s="9">
        <f t="shared" si="50"/>
        <v>0.35446911534938852</v>
      </c>
      <c r="N820" s="9">
        <f t="shared" si="51"/>
        <v>1.3750744144381691E-3</v>
      </c>
    </row>
    <row r="821" spans="1:14" x14ac:dyDescent="0.35">
      <c r="A821" s="6">
        <v>44982</v>
      </c>
      <c r="B821" t="s">
        <v>12</v>
      </c>
      <c r="C821" t="s">
        <v>24</v>
      </c>
      <c r="D821" t="s">
        <v>25</v>
      </c>
      <c r="E821" t="s">
        <v>29</v>
      </c>
      <c r="F821" s="4">
        <v>7</v>
      </c>
      <c r="G821" s="4">
        <v>39696.300000000003</v>
      </c>
      <c r="H821" s="4">
        <v>28212.11</v>
      </c>
      <c r="I821" s="8">
        <v>0.1</v>
      </c>
      <c r="J821" s="4">
        <v>11484.19</v>
      </c>
      <c r="K821" s="4" t="str">
        <f t="shared" si="48"/>
        <v>February</v>
      </c>
      <c r="L821">
        <f t="shared" si="49"/>
        <v>2</v>
      </c>
      <c r="M821" s="9">
        <f t="shared" si="50"/>
        <v>0.28930126989165234</v>
      </c>
      <c r="N821" s="9">
        <f t="shared" si="51"/>
        <v>3.6760793113155201E-4</v>
      </c>
    </row>
    <row r="822" spans="1:14" x14ac:dyDescent="0.35">
      <c r="A822" s="6">
        <v>45113</v>
      </c>
      <c r="B822" t="s">
        <v>11</v>
      </c>
      <c r="C822" t="s">
        <v>16</v>
      </c>
      <c r="D822" t="s">
        <v>26</v>
      </c>
      <c r="E822" t="s">
        <v>35</v>
      </c>
      <c r="F822" s="4">
        <v>6</v>
      </c>
      <c r="G822" s="4">
        <v>173063.4</v>
      </c>
      <c r="H822" s="4">
        <v>104014.9</v>
      </c>
      <c r="I822" s="8">
        <v>0.15</v>
      </c>
      <c r="J822" s="4">
        <v>69048.5</v>
      </c>
      <c r="K822" s="4" t="str">
        <f t="shared" si="48"/>
        <v>July</v>
      </c>
      <c r="L822">
        <f t="shared" si="49"/>
        <v>7</v>
      </c>
      <c r="M822" s="9">
        <f t="shared" si="50"/>
        <v>0.39897806237482913</v>
      </c>
      <c r="N822" s="9">
        <f t="shared" si="51"/>
        <v>1.6026551197112133E-3</v>
      </c>
    </row>
    <row r="823" spans="1:14" x14ac:dyDescent="0.35">
      <c r="A823" s="6">
        <v>45141</v>
      </c>
      <c r="B823" t="s">
        <v>10</v>
      </c>
      <c r="C823" t="s">
        <v>19</v>
      </c>
      <c r="D823" t="s">
        <v>28</v>
      </c>
      <c r="E823" t="s">
        <v>42</v>
      </c>
      <c r="F823" s="4">
        <v>4</v>
      </c>
      <c r="G823" s="4">
        <v>74051.199999999997</v>
      </c>
      <c r="H823" s="4">
        <v>47076.75</v>
      </c>
      <c r="I823" s="8">
        <v>0.2</v>
      </c>
      <c r="J823" s="4">
        <v>26974.45</v>
      </c>
      <c r="K823" s="4" t="str">
        <f t="shared" si="48"/>
        <v>August</v>
      </c>
      <c r="L823">
        <f t="shared" si="49"/>
        <v>8</v>
      </c>
      <c r="M823" s="9">
        <f t="shared" si="50"/>
        <v>0.36426756082278211</v>
      </c>
      <c r="N823" s="9">
        <f t="shared" si="51"/>
        <v>6.8575178114355193E-4</v>
      </c>
    </row>
    <row r="824" spans="1:14" x14ac:dyDescent="0.35">
      <c r="A824" s="6">
        <v>45027</v>
      </c>
      <c r="B824" t="s">
        <v>11</v>
      </c>
      <c r="C824" t="s">
        <v>18</v>
      </c>
      <c r="D824" t="s">
        <v>26</v>
      </c>
      <c r="E824" t="s">
        <v>35</v>
      </c>
      <c r="F824" s="4">
        <v>2</v>
      </c>
      <c r="G824" s="4">
        <v>2685.6</v>
      </c>
      <c r="H824" s="4">
        <v>1514.5</v>
      </c>
      <c r="I824" s="8">
        <v>0.1</v>
      </c>
      <c r="J824" s="4">
        <v>1171.0999999999999</v>
      </c>
      <c r="K824" s="4" t="str">
        <f t="shared" si="48"/>
        <v>April</v>
      </c>
      <c r="L824">
        <f t="shared" si="49"/>
        <v>4</v>
      </c>
      <c r="M824" s="9">
        <f t="shared" si="50"/>
        <v>0.43606642835865356</v>
      </c>
      <c r="N824" s="9">
        <f t="shared" si="51"/>
        <v>2.4870022139264767E-5</v>
      </c>
    </row>
    <row r="825" spans="1:14" x14ac:dyDescent="0.35">
      <c r="A825" s="6">
        <v>45155</v>
      </c>
      <c r="B825" t="s">
        <v>11</v>
      </c>
      <c r="C825" t="s">
        <v>17</v>
      </c>
      <c r="D825" t="s">
        <v>27</v>
      </c>
      <c r="E825" t="s">
        <v>41</v>
      </c>
      <c r="F825" s="4">
        <v>1</v>
      </c>
      <c r="G825" s="4">
        <v>17227</v>
      </c>
      <c r="H825" s="4">
        <v>9861.42</v>
      </c>
      <c r="I825" s="8">
        <v>0</v>
      </c>
      <c r="J825" s="4">
        <v>7365.58</v>
      </c>
      <c r="K825" s="4" t="str">
        <f t="shared" si="48"/>
        <v>August</v>
      </c>
      <c r="L825">
        <f t="shared" si="49"/>
        <v>8</v>
      </c>
      <c r="M825" s="9">
        <f t="shared" si="50"/>
        <v>0.42756022522784004</v>
      </c>
      <c r="N825" s="9">
        <f t="shared" si="51"/>
        <v>1.5953078321161534E-4</v>
      </c>
    </row>
    <row r="826" spans="1:14" x14ac:dyDescent="0.35">
      <c r="A826" s="6">
        <v>45199</v>
      </c>
      <c r="B826" t="s">
        <v>12</v>
      </c>
      <c r="C826" t="s">
        <v>24</v>
      </c>
      <c r="D826" t="s">
        <v>26</v>
      </c>
      <c r="E826" t="s">
        <v>43</v>
      </c>
      <c r="F826" s="4">
        <v>4</v>
      </c>
      <c r="G826" s="4">
        <v>40132</v>
      </c>
      <c r="H826" s="4">
        <v>25512.3</v>
      </c>
      <c r="I826" s="8">
        <v>0</v>
      </c>
      <c r="J826" s="4">
        <v>14619.7</v>
      </c>
      <c r="K826" s="4" t="str">
        <f t="shared" si="48"/>
        <v>September</v>
      </c>
      <c r="L826">
        <f t="shared" si="49"/>
        <v>9</v>
      </c>
      <c r="M826" s="9">
        <f t="shared" si="50"/>
        <v>0.36429034187182302</v>
      </c>
      <c r="N826" s="9">
        <f t="shared" si="51"/>
        <v>3.7164273476801227E-4</v>
      </c>
    </row>
    <row r="827" spans="1:14" x14ac:dyDescent="0.35">
      <c r="A827" s="6">
        <v>45109</v>
      </c>
      <c r="B827" t="s">
        <v>12</v>
      </c>
      <c r="C827" t="s">
        <v>24</v>
      </c>
      <c r="D827" t="s">
        <v>26</v>
      </c>
      <c r="E827" t="s">
        <v>34</v>
      </c>
      <c r="F827" s="4">
        <v>2</v>
      </c>
      <c r="G827" s="4">
        <v>29795.200000000001</v>
      </c>
      <c r="H827" s="4">
        <v>20459.45</v>
      </c>
      <c r="I827" s="8">
        <v>0.2</v>
      </c>
      <c r="J827" s="4">
        <v>9335.75</v>
      </c>
      <c r="K827" s="4" t="str">
        <f t="shared" si="48"/>
        <v>July</v>
      </c>
      <c r="L827">
        <f t="shared" si="49"/>
        <v>7</v>
      </c>
      <c r="M827" s="9">
        <f t="shared" si="50"/>
        <v>0.313330670712061</v>
      </c>
      <c r="N827" s="9">
        <f t="shared" si="51"/>
        <v>2.7591870853582875E-4</v>
      </c>
    </row>
    <row r="828" spans="1:14" x14ac:dyDescent="0.35">
      <c r="A828" s="6">
        <v>45008</v>
      </c>
      <c r="B828" t="s">
        <v>12</v>
      </c>
      <c r="C828" t="s">
        <v>24</v>
      </c>
      <c r="D828" t="s">
        <v>27</v>
      </c>
      <c r="E828" t="s">
        <v>38</v>
      </c>
      <c r="F828" s="4">
        <v>2</v>
      </c>
      <c r="G828" s="4">
        <v>24420.5</v>
      </c>
      <c r="H828" s="4">
        <v>19026.560000000001</v>
      </c>
      <c r="I828" s="8">
        <v>0.15</v>
      </c>
      <c r="J828" s="4">
        <v>5393.94</v>
      </c>
      <c r="K828" s="4" t="str">
        <f t="shared" si="48"/>
        <v>March</v>
      </c>
      <c r="L828">
        <f t="shared" si="49"/>
        <v>3</v>
      </c>
      <c r="M828" s="9">
        <f t="shared" si="50"/>
        <v>0.22087754140988103</v>
      </c>
      <c r="N828" s="9">
        <f t="shared" si="51"/>
        <v>2.2614625247688238E-4</v>
      </c>
    </row>
    <row r="829" spans="1:14" x14ac:dyDescent="0.35">
      <c r="A829" s="6">
        <v>44973</v>
      </c>
      <c r="B829" t="s">
        <v>12</v>
      </c>
      <c r="C829" t="s">
        <v>23</v>
      </c>
      <c r="D829" t="s">
        <v>28</v>
      </c>
      <c r="E829" t="s">
        <v>39</v>
      </c>
      <c r="F829" s="4">
        <v>5</v>
      </c>
      <c r="G829" s="4">
        <v>40060.5</v>
      </c>
      <c r="H829" s="4">
        <v>31568.3</v>
      </c>
      <c r="I829" s="8">
        <v>0.15</v>
      </c>
      <c r="J829" s="4">
        <v>8492.2000000000007</v>
      </c>
      <c r="K829" s="4" t="str">
        <f t="shared" si="48"/>
        <v>February</v>
      </c>
      <c r="L829">
        <f t="shared" si="49"/>
        <v>2</v>
      </c>
      <c r="M829" s="9">
        <f t="shared" si="50"/>
        <v>0.21198437363487727</v>
      </c>
      <c r="N829" s="9">
        <f t="shared" si="51"/>
        <v>3.7098060839663995E-4</v>
      </c>
    </row>
    <row r="830" spans="1:14" x14ac:dyDescent="0.35">
      <c r="A830" s="6">
        <v>44945</v>
      </c>
      <c r="B830" t="s">
        <v>9</v>
      </c>
      <c r="C830" t="s">
        <v>13</v>
      </c>
      <c r="D830" t="s">
        <v>27</v>
      </c>
      <c r="E830" t="s">
        <v>40</v>
      </c>
      <c r="F830" s="4">
        <v>3</v>
      </c>
      <c r="G830" s="4">
        <v>105105.9</v>
      </c>
      <c r="H830" s="4">
        <v>63772.44</v>
      </c>
      <c r="I830" s="8">
        <v>0.15</v>
      </c>
      <c r="J830" s="4">
        <v>41333.46</v>
      </c>
      <c r="K830" s="4" t="str">
        <f t="shared" si="48"/>
        <v>January</v>
      </c>
      <c r="L830">
        <f t="shared" si="49"/>
        <v>1</v>
      </c>
      <c r="M830" s="9">
        <f t="shared" si="50"/>
        <v>0.39325537386578679</v>
      </c>
      <c r="N830" s="9">
        <f t="shared" si="51"/>
        <v>9.7333410037509264E-4</v>
      </c>
    </row>
    <row r="831" spans="1:14" x14ac:dyDescent="0.35">
      <c r="A831" s="6">
        <v>45107</v>
      </c>
      <c r="B831" t="s">
        <v>10</v>
      </c>
      <c r="C831" t="s">
        <v>19</v>
      </c>
      <c r="D831" t="s">
        <v>27</v>
      </c>
      <c r="E831" t="s">
        <v>41</v>
      </c>
      <c r="F831" s="4">
        <v>2</v>
      </c>
      <c r="G831" s="4">
        <v>14200.1</v>
      </c>
      <c r="H831" s="4">
        <v>10026.129999999999</v>
      </c>
      <c r="I831" s="8">
        <v>0.15</v>
      </c>
      <c r="J831" s="4">
        <v>4173.97</v>
      </c>
      <c r="K831" s="4" t="str">
        <f t="shared" si="48"/>
        <v>June</v>
      </c>
      <c r="L831">
        <f t="shared" si="49"/>
        <v>6</v>
      </c>
      <c r="M831" s="9">
        <f t="shared" si="50"/>
        <v>0.29393947929944159</v>
      </c>
      <c r="N831" s="9">
        <f t="shared" si="51"/>
        <v>1.3150014945627556E-4</v>
      </c>
    </row>
    <row r="832" spans="1:14" x14ac:dyDescent="0.35">
      <c r="A832" s="6">
        <v>45103</v>
      </c>
      <c r="B832" t="s">
        <v>9</v>
      </c>
      <c r="C832" t="s">
        <v>20</v>
      </c>
      <c r="D832" t="s">
        <v>27</v>
      </c>
      <c r="E832" t="s">
        <v>41</v>
      </c>
      <c r="F832" s="4">
        <v>3</v>
      </c>
      <c r="G832" s="4">
        <v>12413.4</v>
      </c>
      <c r="H832" s="4">
        <v>9192.66</v>
      </c>
      <c r="I832" s="8">
        <v>0.15</v>
      </c>
      <c r="J832" s="4">
        <v>3220.74</v>
      </c>
      <c r="K832" s="4" t="str">
        <f t="shared" si="48"/>
        <v>June</v>
      </c>
      <c r="L832">
        <f t="shared" si="49"/>
        <v>6</v>
      </c>
      <c r="M832" s="9">
        <f t="shared" si="50"/>
        <v>0.25945671612934407</v>
      </c>
      <c r="N832" s="9">
        <f t="shared" si="51"/>
        <v>1.1495439857892064E-4</v>
      </c>
    </row>
    <row r="833" spans="1:14" x14ac:dyDescent="0.35">
      <c r="A833" s="6">
        <v>45234</v>
      </c>
      <c r="B833" t="s">
        <v>11</v>
      </c>
      <c r="C833" t="s">
        <v>17</v>
      </c>
      <c r="D833" t="s">
        <v>25</v>
      </c>
      <c r="E833" t="s">
        <v>29</v>
      </c>
      <c r="F833" s="4">
        <v>1</v>
      </c>
      <c r="G833" s="4">
        <v>28251.1</v>
      </c>
      <c r="H833" s="4">
        <v>18103.7</v>
      </c>
      <c r="I833" s="8">
        <v>0.05</v>
      </c>
      <c r="J833" s="4">
        <v>10147.4</v>
      </c>
      <c r="K833" s="4" t="str">
        <f t="shared" si="48"/>
        <v>November</v>
      </c>
      <c r="L833">
        <f t="shared" si="49"/>
        <v>11</v>
      </c>
      <c r="M833" s="9">
        <f t="shared" si="50"/>
        <v>0.35918601399591521</v>
      </c>
      <c r="N833" s="9">
        <f t="shared" si="51"/>
        <v>2.6161955706679432E-4</v>
      </c>
    </row>
    <row r="834" spans="1:14" x14ac:dyDescent="0.35">
      <c r="A834" s="6">
        <v>45115</v>
      </c>
      <c r="B834" t="s">
        <v>11</v>
      </c>
      <c r="C834" t="s">
        <v>16</v>
      </c>
      <c r="D834" t="s">
        <v>28</v>
      </c>
      <c r="E834" t="s">
        <v>42</v>
      </c>
      <c r="F834" s="4">
        <v>6</v>
      </c>
      <c r="G834" s="4">
        <v>98088.3</v>
      </c>
      <c r="H834" s="4">
        <v>73691.22</v>
      </c>
      <c r="I834" s="8">
        <v>0.15</v>
      </c>
      <c r="J834" s="4">
        <v>24397.08</v>
      </c>
      <c r="K834" s="4" t="str">
        <f t="shared" si="48"/>
        <v>July</v>
      </c>
      <c r="L834">
        <f t="shared" si="49"/>
        <v>7</v>
      </c>
      <c r="M834" s="9">
        <f t="shared" si="50"/>
        <v>0.24872568899654701</v>
      </c>
      <c r="N834" s="9">
        <f t="shared" si="51"/>
        <v>9.0834755458848841E-4</v>
      </c>
    </row>
    <row r="835" spans="1:14" x14ac:dyDescent="0.35">
      <c r="A835" s="6">
        <v>45274</v>
      </c>
      <c r="B835" t="s">
        <v>10</v>
      </c>
      <c r="C835" t="s">
        <v>19</v>
      </c>
      <c r="D835" t="s">
        <v>27</v>
      </c>
      <c r="E835" t="s">
        <v>38</v>
      </c>
      <c r="F835" s="4">
        <v>1</v>
      </c>
      <c r="G835" s="4">
        <v>23101.15</v>
      </c>
      <c r="H835" s="4">
        <v>16075.06</v>
      </c>
      <c r="I835" s="8">
        <v>0.05</v>
      </c>
      <c r="J835" s="4">
        <v>7026.09</v>
      </c>
      <c r="K835" s="4" t="str">
        <f t="shared" ref="K835:K898" si="52">TEXT(A835,"mmmm")</f>
        <v>December</v>
      </c>
      <c r="L835">
        <f t="shared" ref="L835:L898" si="53">MONTH(A835)</f>
        <v>12</v>
      </c>
      <c r="M835" s="9">
        <f t="shared" ref="M835:M898" si="54">J835/G835</f>
        <v>0.30414459886196138</v>
      </c>
      <c r="N835" s="9">
        <f t="shared" ref="N835:N898" si="55">G835/SUM(G:G)</f>
        <v>2.1392840033604272E-4</v>
      </c>
    </row>
    <row r="836" spans="1:14" x14ac:dyDescent="0.35">
      <c r="A836" s="6">
        <v>45087</v>
      </c>
      <c r="B836" t="s">
        <v>10</v>
      </c>
      <c r="C836" t="s">
        <v>22</v>
      </c>
      <c r="D836" t="s">
        <v>27</v>
      </c>
      <c r="E836" t="s">
        <v>41</v>
      </c>
      <c r="F836" s="4">
        <v>3</v>
      </c>
      <c r="G836" s="4">
        <v>55851.45</v>
      </c>
      <c r="H836" s="4">
        <v>39046.22</v>
      </c>
      <c r="I836" s="8">
        <v>0.05</v>
      </c>
      <c r="J836" s="4">
        <v>16805.23</v>
      </c>
      <c r="K836" s="4" t="str">
        <f t="shared" si="52"/>
        <v>June</v>
      </c>
      <c r="L836">
        <f t="shared" si="53"/>
        <v>6</v>
      </c>
      <c r="M836" s="9">
        <f t="shared" si="54"/>
        <v>0.30089156145453699</v>
      </c>
      <c r="N836" s="9">
        <f t="shared" si="55"/>
        <v>5.1721283810323175E-4</v>
      </c>
    </row>
    <row r="837" spans="1:14" x14ac:dyDescent="0.35">
      <c r="A837" s="6">
        <v>44928</v>
      </c>
      <c r="B837" t="s">
        <v>10</v>
      </c>
      <c r="C837" t="s">
        <v>14</v>
      </c>
      <c r="D837" t="s">
        <v>27</v>
      </c>
      <c r="E837" t="s">
        <v>31</v>
      </c>
      <c r="F837" s="4">
        <v>7</v>
      </c>
      <c r="G837" s="4">
        <v>20884.5</v>
      </c>
      <c r="H837" s="4">
        <v>14260.76</v>
      </c>
      <c r="I837" s="8">
        <v>0.15</v>
      </c>
      <c r="J837" s="4">
        <v>6623.74</v>
      </c>
      <c r="K837" s="4" t="str">
        <f t="shared" si="52"/>
        <v>January</v>
      </c>
      <c r="L837">
        <f t="shared" si="53"/>
        <v>1</v>
      </c>
      <c r="M837" s="9">
        <f t="shared" si="54"/>
        <v>0.31716057363116185</v>
      </c>
      <c r="N837" s="9">
        <f t="shared" si="55"/>
        <v>1.9340109374719805E-4</v>
      </c>
    </row>
    <row r="838" spans="1:14" x14ac:dyDescent="0.35">
      <c r="A838" s="6">
        <v>45142</v>
      </c>
      <c r="B838" t="s">
        <v>10</v>
      </c>
      <c r="C838" t="s">
        <v>19</v>
      </c>
      <c r="D838" t="s">
        <v>27</v>
      </c>
      <c r="E838" t="s">
        <v>31</v>
      </c>
      <c r="F838" s="4">
        <v>2</v>
      </c>
      <c r="G838" s="4">
        <v>84030</v>
      </c>
      <c r="H838" s="4">
        <v>61074.66</v>
      </c>
      <c r="I838" s="8">
        <v>0</v>
      </c>
      <c r="J838" s="4">
        <v>22955.34</v>
      </c>
      <c r="K838" s="4" t="str">
        <f t="shared" si="52"/>
        <v>August</v>
      </c>
      <c r="L838">
        <f t="shared" si="53"/>
        <v>8</v>
      </c>
      <c r="M838" s="9">
        <f t="shared" si="54"/>
        <v>0.27318029275258837</v>
      </c>
      <c r="N838" s="9">
        <f t="shared" si="55"/>
        <v>7.781605452645288E-4</v>
      </c>
    </row>
    <row r="839" spans="1:14" x14ac:dyDescent="0.35">
      <c r="A839" s="6">
        <v>45160</v>
      </c>
      <c r="B839" t="s">
        <v>10</v>
      </c>
      <c r="C839" t="s">
        <v>19</v>
      </c>
      <c r="D839" t="s">
        <v>26</v>
      </c>
      <c r="E839" t="s">
        <v>34</v>
      </c>
      <c r="F839" s="4">
        <v>5</v>
      </c>
      <c r="G839" s="4">
        <v>32159.75</v>
      </c>
      <c r="H839" s="4">
        <v>18120.27</v>
      </c>
      <c r="I839" s="8">
        <v>0.15</v>
      </c>
      <c r="J839" s="4">
        <v>14039.48</v>
      </c>
      <c r="K839" s="4" t="str">
        <f t="shared" si="52"/>
        <v>August</v>
      </c>
      <c r="L839">
        <f t="shared" si="53"/>
        <v>8</v>
      </c>
      <c r="M839" s="9">
        <f t="shared" si="54"/>
        <v>0.43655438863797136</v>
      </c>
      <c r="N839" s="9">
        <f t="shared" si="55"/>
        <v>2.9781564436000155E-4</v>
      </c>
    </row>
    <row r="840" spans="1:14" x14ac:dyDescent="0.35">
      <c r="A840" s="6">
        <v>45202</v>
      </c>
      <c r="B840" t="s">
        <v>12</v>
      </c>
      <c r="C840" t="s">
        <v>21</v>
      </c>
      <c r="D840" t="s">
        <v>25</v>
      </c>
      <c r="E840" t="s">
        <v>33</v>
      </c>
      <c r="F840" s="4">
        <v>7</v>
      </c>
      <c r="G840" s="4">
        <v>95872.35</v>
      </c>
      <c r="H840" s="4">
        <v>70422.27</v>
      </c>
      <c r="I840" s="8">
        <v>0.15</v>
      </c>
      <c r="J840" s="4">
        <v>25450.080000000002</v>
      </c>
      <c r="K840" s="4" t="str">
        <f t="shared" si="52"/>
        <v>October</v>
      </c>
      <c r="L840">
        <f t="shared" si="53"/>
        <v>10</v>
      </c>
      <c r="M840" s="9">
        <f t="shared" si="54"/>
        <v>0.26545797615266548</v>
      </c>
      <c r="N840" s="9">
        <f t="shared" si="55"/>
        <v>8.8782673035572716E-4</v>
      </c>
    </row>
    <row r="841" spans="1:14" x14ac:dyDescent="0.35">
      <c r="A841" s="6">
        <v>45265</v>
      </c>
      <c r="B841" t="s">
        <v>9</v>
      </c>
      <c r="C841" t="s">
        <v>20</v>
      </c>
      <c r="D841" t="s">
        <v>25</v>
      </c>
      <c r="E841" t="s">
        <v>29</v>
      </c>
      <c r="F841" s="4">
        <v>4</v>
      </c>
      <c r="G841" s="4">
        <v>27162.6</v>
      </c>
      <c r="H841" s="4">
        <v>17779.900000000001</v>
      </c>
      <c r="I841" s="8">
        <v>0.15</v>
      </c>
      <c r="J841" s="4">
        <v>9382.7000000000007</v>
      </c>
      <c r="K841" s="4" t="str">
        <f t="shared" si="52"/>
        <v>December</v>
      </c>
      <c r="L841">
        <f t="shared" si="53"/>
        <v>12</v>
      </c>
      <c r="M841" s="9">
        <f t="shared" si="54"/>
        <v>0.34542716823868119</v>
      </c>
      <c r="N841" s="9">
        <f t="shared" si="55"/>
        <v>2.5153949335716161E-4</v>
      </c>
    </row>
    <row r="842" spans="1:14" x14ac:dyDescent="0.35">
      <c r="A842" s="6">
        <v>45049</v>
      </c>
      <c r="B842" t="s">
        <v>10</v>
      </c>
      <c r="C842" t="s">
        <v>14</v>
      </c>
      <c r="D842" t="s">
        <v>28</v>
      </c>
      <c r="E842" t="s">
        <v>36</v>
      </c>
      <c r="F842" s="4">
        <v>5</v>
      </c>
      <c r="G842" s="4">
        <v>213213.25</v>
      </c>
      <c r="H842" s="4">
        <v>134742.39999999999</v>
      </c>
      <c r="I842" s="8">
        <v>0.05</v>
      </c>
      <c r="J842" s="4">
        <v>78470.850000000006</v>
      </c>
      <c r="K842" s="4" t="str">
        <f t="shared" si="52"/>
        <v>May</v>
      </c>
      <c r="L842">
        <f t="shared" si="53"/>
        <v>5</v>
      </c>
      <c r="M842" s="9">
        <f t="shared" si="54"/>
        <v>0.36803927523266028</v>
      </c>
      <c r="N842" s="9">
        <f t="shared" si="55"/>
        <v>1.9744631545593515E-3</v>
      </c>
    </row>
    <row r="843" spans="1:14" x14ac:dyDescent="0.35">
      <c r="A843" s="6">
        <v>45081</v>
      </c>
      <c r="B843" t="s">
        <v>10</v>
      </c>
      <c r="C843" t="s">
        <v>19</v>
      </c>
      <c r="D843" t="s">
        <v>27</v>
      </c>
      <c r="E843" t="s">
        <v>40</v>
      </c>
      <c r="F843" s="4">
        <v>7</v>
      </c>
      <c r="G843" s="4">
        <v>31972.5</v>
      </c>
      <c r="H843" s="4">
        <v>20302.57</v>
      </c>
      <c r="I843" s="8">
        <v>0.1</v>
      </c>
      <c r="J843" s="4">
        <v>11669.93</v>
      </c>
      <c r="K843" s="4" t="str">
        <f t="shared" si="52"/>
        <v>June</v>
      </c>
      <c r="L843">
        <f t="shared" si="53"/>
        <v>6</v>
      </c>
      <c r="M843" s="9">
        <f t="shared" si="54"/>
        <v>0.36499898350144655</v>
      </c>
      <c r="N843" s="9">
        <f t="shared" si="55"/>
        <v>2.9608161410770139E-4</v>
      </c>
    </row>
    <row r="844" spans="1:14" x14ac:dyDescent="0.35">
      <c r="A844" s="6">
        <v>44995</v>
      </c>
      <c r="B844" t="s">
        <v>12</v>
      </c>
      <c r="C844" t="s">
        <v>21</v>
      </c>
      <c r="D844" t="s">
        <v>27</v>
      </c>
      <c r="E844" t="s">
        <v>31</v>
      </c>
      <c r="F844" s="4">
        <v>7</v>
      </c>
      <c r="G844" s="4">
        <v>280980</v>
      </c>
      <c r="H844" s="4">
        <v>173794.58</v>
      </c>
      <c r="I844" s="8">
        <v>0.1</v>
      </c>
      <c r="J844" s="4">
        <v>107185.42</v>
      </c>
      <c r="K844" s="4" t="str">
        <f t="shared" si="52"/>
        <v>March</v>
      </c>
      <c r="L844">
        <f t="shared" si="53"/>
        <v>3</v>
      </c>
      <c r="M844" s="9">
        <f t="shared" si="54"/>
        <v>0.38146992668517332</v>
      </c>
      <c r="N844" s="9">
        <f t="shared" si="55"/>
        <v>2.6020177318627552E-3</v>
      </c>
    </row>
    <row r="845" spans="1:14" x14ac:dyDescent="0.35">
      <c r="A845" s="6">
        <v>45254</v>
      </c>
      <c r="B845" t="s">
        <v>9</v>
      </c>
      <c r="C845" t="s">
        <v>13</v>
      </c>
      <c r="D845" t="s">
        <v>27</v>
      </c>
      <c r="E845" t="s">
        <v>38</v>
      </c>
      <c r="F845" s="4">
        <v>7</v>
      </c>
      <c r="G845" s="4">
        <v>160783</v>
      </c>
      <c r="H845" s="4">
        <v>109255.15</v>
      </c>
      <c r="I845" s="8">
        <v>0</v>
      </c>
      <c r="J845" s="4">
        <v>51527.85</v>
      </c>
      <c r="K845" s="4" t="str">
        <f t="shared" si="52"/>
        <v>November</v>
      </c>
      <c r="L845">
        <f t="shared" si="53"/>
        <v>11</v>
      </c>
      <c r="M845" s="9">
        <f t="shared" si="54"/>
        <v>0.32048071002531359</v>
      </c>
      <c r="N845" s="9">
        <f t="shared" si="55"/>
        <v>1.4889323687881321E-3</v>
      </c>
    </row>
    <row r="846" spans="1:14" x14ac:dyDescent="0.35">
      <c r="A846" s="6">
        <v>44940</v>
      </c>
      <c r="B846" t="s">
        <v>12</v>
      </c>
      <c r="C846" t="s">
        <v>23</v>
      </c>
      <c r="D846" t="s">
        <v>25</v>
      </c>
      <c r="E846" t="s">
        <v>32</v>
      </c>
      <c r="F846" s="4">
        <v>2</v>
      </c>
      <c r="G846" s="4">
        <v>35683.199999999997</v>
      </c>
      <c r="H846" s="4">
        <v>22357.91</v>
      </c>
      <c r="I846" s="8">
        <v>0.1</v>
      </c>
      <c r="J846" s="4">
        <v>13325.29</v>
      </c>
      <c r="K846" s="4" t="str">
        <f t="shared" si="52"/>
        <v>January</v>
      </c>
      <c r="L846">
        <f t="shared" si="53"/>
        <v>1</v>
      </c>
      <c r="M846" s="9">
        <f t="shared" si="54"/>
        <v>0.37343315621917322</v>
      </c>
      <c r="N846" s="9">
        <f t="shared" si="55"/>
        <v>3.304445837056198E-4</v>
      </c>
    </row>
    <row r="847" spans="1:14" x14ac:dyDescent="0.35">
      <c r="A847" s="6">
        <v>45071</v>
      </c>
      <c r="B847" t="s">
        <v>10</v>
      </c>
      <c r="C847" t="s">
        <v>19</v>
      </c>
      <c r="D847" t="s">
        <v>26</v>
      </c>
      <c r="E847" t="s">
        <v>35</v>
      </c>
      <c r="F847" s="4">
        <v>6</v>
      </c>
      <c r="G847" s="4">
        <v>21318</v>
      </c>
      <c r="H847" s="4">
        <v>15594.57</v>
      </c>
      <c r="I847" s="8">
        <v>0.05</v>
      </c>
      <c r="J847" s="4">
        <v>5723.43</v>
      </c>
      <c r="K847" s="4" t="str">
        <f t="shared" si="52"/>
        <v>May</v>
      </c>
      <c r="L847">
        <f t="shared" si="53"/>
        <v>5</v>
      </c>
      <c r="M847" s="9">
        <f t="shared" si="54"/>
        <v>0.2684787503518154</v>
      </c>
      <c r="N847" s="9">
        <f t="shared" si="55"/>
        <v>1.9741552426453916E-4</v>
      </c>
    </row>
    <row r="848" spans="1:14" x14ac:dyDescent="0.35">
      <c r="A848" s="6">
        <v>45280</v>
      </c>
      <c r="B848" t="s">
        <v>9</v>
      </c>
      <c r="C848" t="s">
        <v>20</v>
      </c>
      <c r="D848" t="s">
        <v>25</v>
      </c>
      <c r="E848" t="s">
        <v>29</v>
      </c>
      <c r="F848" s="4">
        <v>1</v>
      </c>
      <c r="G848" s="4">
        <v>34162.35</v>
      </c>
      <c r="H848" s="4">
        <v>20280.39</v>
      </c>
      <c r="I848" s="8">
        <v>0.15</v>
      </c>
      <c r="J848" s="4">
        <v>13881.96</v>
      </c>
      <c r="K848" s="4" t="str">
        <f t="shared" si="52"/>
        <v>December</v>
      </c>
      <c r="L848">
        <f t="shared" si="53"/>
        <v>12</v>
      </c>
      <c r="M848" s="9">
        <f t="shared" si="54"/>
        <v>0.40635260747577379</v>
      </c>
      <c r="N848" s="9">
        <f t="shared" si="55"/>
        <v>3.1636073906364005E-4</v>
      </c>
    </row>
    <row r="849" spans="1:14" x14ac:dyDescent="0.35">
      <c r="A849" s="6">
        <v>45007</v>
      </c>
      <c r="B849" t="s">
        <v>10</v>
      </c>
      <c r="C849" t="s">
        <v>14</v>
      </c>
      <c r="D849" t="s">
        <v>28</v>
      </c>
      <c r="E849" t="s">
        <v>39</v>
      </c>
      <c r="F849" s="4">
        <v>4</v>
      </c>
      <c r="G849" s="4">
        <v>9878.4</v>
      </c>
      <c r="H849" s="4">
        <v>7711.58</v>
      </c>
      <c r="I849" s="8">
        <v>0.1</v>
      </c>
      <c r="J849" s="4">
        <v>2166.8200000000002</v>
      </c>
      <c r="K849" s="4" t="str">
        <f t="shared" si="52"/>
        <v>March</v>
      </c>
      <c r="L849">
        <f t="shared" si="53"/>
        <v>3</v>
      </c>
      <c r="M849" s="9">
        <f t="shared" si="54"/>
        <v>0.21934928733398124</v>
      </c>
      <c r="N849" s="9">
        <f t="shared" si="55"/>
        <v>9.1479009048448429E-5</v>
      </c>
    </row>
    <row r="850" spans="1:14" x14ac:dyDescent="0.35">
      <c r="A850" s="6">
        <v>44934</v>
      </c>
      <c r="B850" t="s">
        <v>10</v>
      </c>
      <c r="C850" t="s">
        <v>19</v>
      </c>
      <c r="D850" t="s">
        <v>28</v>
      </c>
      <c r="E850" t="s">
        <v>44</v>
      </c>
      <c r="F850" s="4">
        <v>5</v>
      </c>
      <c r="G850" s="4">
        <v>119076.5</v>
      </c>
      <c r="H850" s="4">
        <v>80072.570000000007</v>
      </c>
      <c r="I850" s="8">
        <v>0.15</v>
      </c>
      <c r="J850" s="4">
        <v>39003.93</v>
      </c>
      <c r="K850" s="4" t="str">
        <f t="shared" si="52"/>
        <v>January</v>
      </c>
      <c r="L850">
        <f t="shared" si="53"/>
        <v>1</v>
      </c>
      <c r="M850" s="9">
        <f t="shared" si="54"/>
        <v>0.32755354750937421</v>
      </c>
      <c r="N850" s="9">
        <f t="shared" si="55"/>
        <v>1.1027089630868934E-3</v>
      </c>
    </row>
    <row r="851" spans="1:14" x14ac:dyDescent="0.35">
      <c r="A851" s="6">
        <v>44934</v>
      </c>
      <c r="B851" t="s">
        <v>10</v>
      </c>
      <c r="C851" t="s">
        <v>22</v>
      </c>
      <c r="D851" t="s">
        <v>26</v>
      </c>
      <c r="E851" t="s">
        <v>43</v>
      </c>
      <c r="F851" s="4">
        <v>4</v>
      </c>
      <c r="G851" s="4">
        <v>6544</v>
      </c>
      <c r="H851" s="4">
        <v>4916.47</v>
      </c>
      <c r="I851" s="8">
        <v>0.2</v>
      </c>
      <c r="J851" s="4">
        <v>1627.53</v>
      </c>
      <c r="K851" s="4" t="str">
        <f t="shared" si="52"/>
        <v>January</v>
      </c>
      <c r="L851">
        <f t="shared" si="53"/>
        <v>1</v>
      </c>
      <c r="M851" s="9">
        <f t="shared" si="54"/>
        <v>0.24870568459657702</v>
      </c>
      <c r="N851" s="9">
        <f t="shared" si="55"/>
        <v>6.0600768870773251E-5</v>
      </c>
    </row>
    <row r="852" spans="1:14" x14ac:dyDescent="0.35">
      <c r="A852" s="6">
        <v>45075</v>
      </c>
      <c r="B852" t="s">
        <v>11</v>
      </c>
      <c r="C852" t="s">
        <v>16</v>
      </c>
      <c r="D852" t="s">
        <v>28</v>
      </c>
      <c r="E852" t="s">
        <v>44</v>
      </c>
      <c r="F852" s="4">
        <v>5</v>
      </c>
      <c r="G852" s="4">
        <v>67682.75</v>
      </c>
      <c r="H852" s="4">
        <v>41908.379999999997</v>
      </c>
      <c r="I852" s="8">
        <v>0.05</v>
      </c>
      <c r="J852" s="4">
        <v>25774.37</v>
      </c>
      <c r="K852" s="4" t="str">
        <f t="shared" si="52"/>
        <v>May</v>
      </c>
      <c r="L852">
        <f t="shared" si="53"/>
        <v>5</v>
      </c>
      <c r="M852" s="9">
        <f t="shared" si="54"/>
        <v>0.38081150662465696</v>
      </c>
      <c r="N852" s="9">
        <f t="shared" si="55"/>
        <v>6.2677669457339978E-4</v>
      </c>
    </row>
    <row r="853" spans="1:14" x14ac:dyDescent="0.35">
      <c r="A853" s="6">
        <v>45220</v>
      </c>
      <c r="B853" t="s">
        <v>11</v>
      </c>
      <c r="C853" t="s">
        <v>18</v>
      </c>
      <c r="D853" t="s">
        <v>28</v>
      </c>
      <c r="E853" t="s">
        <v>42</v>
      </c>
      <c r="F853" s="4">
        <v>4</v>
      </c>
      <c r="G853" s="4">
        <v>125740</v>
      </c>
      <c r="H853" s="4">
        <v>79464.03</v>
      </c>
      <c r="I853" s="8">
        <v>0</v>
      </c>
      <c r="J853" s="4">
        <v>46275.97</v>
      </c>
      <c r="K853" s="4" t="str">
        <f t="shared" si="52"/>
        <v>October</v>
      </c>
      <c r="L853">
        <f t="shared" si="53"/>
        <v>10</v>
      </c>
      <c r="M853" s="9">
        <f t="shared" si="54"/>
        <v>0.36802902815333227</v>
      </c>
      <c r="N853" s="9">
        <f t="shared" si="55"/>
        <v>1.1644163627461842E-3</v>
      </c>
    </row>
    <row r="854" spans="1:14" x14ac:dyDescent="0.35">
      <c r="A854" s="6">
        <v>44977</v>
      </c>
      <c r="B854" t="s">
        <v>10</v>
      </c>
      <c r="C854" t="s">
        <v>14</v>
      </c>
      <c r="D854" t="s">
        <v>26</v>
      </c>
      <c r="E854" t="s">
        <v>34</v>
      </c>
      <c r="F854" s="4">
        <v>4</v>
      </c>
      <c r="G854" s="4">
        <v>149070.20000000001</v>
      </c>
      <c r="H854" s="4">
        <v>83839.37</v>
      </c>
      <c r="I854" s="8">
        <v>0.05</v>
      </c>
      <c r="J854" s="4">
        <v>65230.83</v>
      </c>
      <c r="K854" s="4" t="str">
        <f t="shared" si="52"/>
        <v>February</v>
      </c>
      <c r="L854">
        <f t="shared" si="53"/>
        <v>2</v>
      </c>
      <c r="M854" s="9">
        <f t="shared" si="54"/>
        <v>0.43758464133005792</v>
      </c>
      <c r="N854" s="9">
        <f t="shared" si="55"/>
        <v>1.3804658825977908E-3</v>
      </c>
    </row>
    <row r="855" spans="1:14" x14ac:dyDescent="0.35">
      <c r="A855" s="6">
        <v>45267</v>
      </c>
      <c r="B855" t="s">
        <v>10</v>
      </c>
      <c r="C855" t="s">
        <v>19</v>
      </c>
      <c r="D855" t="s">
        <v>26</v>
      </c>
      <c r="E855" t="s">
        <v>35</v>
      </c>
      <c r="F855" s="4">
        <v>2</v>
      </c>
      <c r="G855" s="4">
        <v>77995.199999999997</v>
      </c>
      <c r="H855" s="4">
        <v>52997.94</v>
      </c>
      <c r="I855" s="8">
        <v>0.2</v>
      </c>
      <c r="J855" s="4">
        <v>24997.26</v>
      </c>
      <c r="K855" s="4" t="str">
        <f t="shared" si="52"/>
        <v>December</v>
      </c>
      <c r="L855">
        <f t="shared" si="53"/>
        <v>12</v>
      </c>
      <c r="M855" s="9">
        <f t="shared" si="54"/>
        <v>0.32049741522555231</v>
      </c>
      <c r="N855" s="9">
        <f t="shared" si="55"/>
        <v>7.2227522741896916E-4</v>
      </c>
    </row>
    <row r="856" spans="1:14" x14ac:dyDescent="0.35">
      <c r="A856" s="6">
        <v>45239</v>
      </c>
      <c r="B856" t="s">
        <v>12</v>
      </c>
      <c r="C856" t="s">
        <v>24</v>
      </c>
      <c r="D856" t="s">
        <v>25</v>
      </c>
      <c r="E856" t="s">
        <v>37</v>
      </c>
      <c r="F856" s="4">
        <v>1</v>
      </c>
      <c r="G856" s="4">
        <v>46616.5</v>
      </c>
      <c r="H856" s="4">
        <v>26511.919999999998</v>
      </c>
      <c r="I856" s="8">
        <v>0.05</v>
      </c>
      <c r="J856" s="4">
        <v>20104.580000000002</v>
      </c>
      <c r="K856" s="4" t="str">
        <f t="shared" si="52"/>
        <v>November</v>
      </c>
      <c r="L856">
        <f t="shared" si="53"/>
        <v>11</v>
      </c>
      <c r="M856" s="9">
        <f t="shared" si="54"/>
        <v>0.43127605032552857</v>
      </c>
      <c r="N856" s="9">
        <f t="shared" si="55"/>
        <v>4.3169250337169948E-4</v>
      </c>
    </row>
    <row r="857" spans="1:14" x14ac:dyDescent="0.35">
      <c r="A857" s="6">
        <v>45160</v>
      </c>
      <c r="B857" t="s">
        <v>11</v>
      </c>
      <c r="C857" t="s">
        <v>18</v>
      </c>
      <c r="D857" t="s">
        <v>25</v>
      </c>
      <c r="E857" t="s">
        <v>32</v>
      </c>
      <c r="F857" s="4">
        <v>6</v>
      </c>
      <c r="G857" s="4">
        <v>91290</v>
      </c>
      <c r="H857" s="4">
        <v>58836.27</v>
      </c>
      <c r="I857" s="8">
        <v>0.15</v>
      </c>
      <c r="J857" s="4">
        <v>32453.73</v>
      </c>
      <c r="K857" s="4" t="str">
        <f t="shared" si="52"/>
        <v>August</v>
      </c>
      <c r="L857">
        <f t="shared" si="53"/>
        <v>8</v>
      </c>
      <c r="M857" s="9">
        <f t="shared" si="54"/>
        <v>0.355501478803812</v>
      </c>
      <c r="N857" s="9">
        <f t="shared" si="55"/>
        <v>8.4539183835771552E-4</v>
      </c>
    </row>
    <row r="858" spans="1:14" x14ac:dyDescent="0.35">
      <c r="A858" s="6">
        <v>45269</v>
      </c>
      <c r="B858" t="s">
        <v>10</v>
      </c>
      <c r="C858" t="s">
        <v>14</v>
      </c>
      <c r="D858" t="s">
        <v>25</v>
      </c>
      <c r="E858" t="s">
        <v>29</v>
      </c>
      <c r="F858" s="4">
        <v>2</v>
      </c>
      <c r="G858" s="4">
        <v>67095.600000000006</v>
      </c>
      <c r="H858" s="4">
        <v>44030.71</v>
      </c>
      <c r="I858" s="8">
        <v>0.15</v>
      </c>
      <c r="J858" s="4">
        <v>23064.89</v>
      </c>
      <c r="K858" s="4" t="str">
        <f t="shared" si="52"/>
        <v>December</v>
      </c>
      <c r="L858">
        <f t="shared" si="53"/>
        <v>12</v>
      </c>
      <c r="M858" s="9">
        <f t="shared" si="54"/>
        <v>0.34376158794317357</v>
      </c>
      <c r="N858" s="9">
        <f t="shared" si="55"/>
        <v>6.2133938689576016E-4</v>
      </c>
    </row>
    <row r="859" spans="1:14" x14ac:dyDescent="0.35">
      <c r="A859" s="6">
        <v>45155</v>
      </c>
      <c r="B859" t="s">
        <v>12</v>
      </c>
      <c r="C859" t="s">
        <v>21</v>
      </c>
      <c r="D859" t="s">
        <v>26</v>
      </c>
      <c r="E859" t="s">
        <v>35</v>
      </c>
      <c r="F859" s="4">
        <v>1</v>
      </c>
      <c r="G859" s="4">
        <v>22120.75</v>
      </c>
      <c r="H859" s="4">
        <v>12722.54</v>
      </c>
      <c r="I859" s="8">
        <v>0.05</v>
      </c>
      <c r="J859" s="4">
        <v>9398.2099999999991</v>
      </c>
      <c r="K859" s="4" t="str">
        <f t="shared" si="52"/>
        <v>August</v>
      </c>
      <c r="L859">
        <f t="shared" si="53"/>
        <v>8</v>
      </c>
      <c r="M859" s="9">
        <f t="shared" si="54"/>
        <v>0.42485946452990964</v>
      </c>
      <c r="N859" s="9">
        <f t="shared" si="55"/>
        <v>2.0484939761585536E-4</v>
      </c>
    </row>
    <row r="860" spans="1:14" x14ac:dyDescent="0.35">
      <c r="A860" s="6">
        <v>45235</v>
      </c>
      <c r="B860" t="s">
        <v>10</v>
      </c>
      <c r="C860" t="s">
        <v>22</v>
      </c>
      <c r="D860" t="s">
        <v>25</v>
      </c>
      <c r="E860" t="s">
        <v>32</v>
      </c>
      <c r="F860" s="4">
        <v>5</v>
      </c>
      <c r="G860" s="4">
        <v>151060</v>
      </c>
      <c r="H860" s="4">
        <v>116497.77</v>
      </c>
      <c r="I860" s="8">
        <v>0.2</v>
      </c>
      <c r="J860" s="4">
        <v>34562.230000000003</v>
      </c>
      <c r="K860" s="4" t="str">
        <f t="shared" si="52"/>
        <v>November</v>
      </c>
      <c r="L860">
        <f t="shared" si="53"/>
        <v>11</v>
      </c>
      <c r="M860" s="9">
        <f t="shared" si="54"/>
        <v>0.22879802727393092</v>
      </c>
      <c r="N860" s="9">
        <f t="shared" si="55"/>
        <v>1.3988924427901907E-3</v>
      </c>
    </row>
    <row r="861" spans="1:14" x14ac:dyDescent="0.35">
      <c r="A861" s="6">
        <v>45087</v>
      </c>
      <c r="B861" t="s">
        <v>10</v>
      </c>
      <c r="C861" t="s">
        <v>22</v>
      </c>
      <c r="D861" t="s">
        <v>26</v>
      </c>
      <c r="E861" t="s">
        <v>43</v>
      </c>
      <c r="F861" s="4">
        <v>3</v>
      </c>
      <c r="G861" s="4">
        <v>142058.25</v>
      </c>
      <c r="H861" s="4">
        <v>98184.98</v>
      </c>
      <c r="I861" s="8">
        <v>0.05</v>
      </c>
      <c r="J861" s="4">
        <v>43873.27</v>
      </c>
      <c r="K861" s="4" t="str">
        <f t="shared" si="52"/>
        <v>June</v>
      </c>
      <c r="L861">
        <f t="shared" si="53"/>
        <v>6</v>
      </c>
      <c r="M861" s="9">
        <f t="shared" si="54"/>
        <v>0.30884000049275562</v>
      </c>
      <c r="N861" s="9">
        <f t="shared" si="55"/>
        <v>1.3155316586852879E-3</v>
      </c>
    </row>
    <row r="862" spans="1:14" x14ac:dyDescent="0.35">
      <c r="A862" s="6">
        <v>45276</v>
      </c>
      <c r="B862" t="s">
        <v>9</v>
      </c>
      <c r="C862" t="s">
        <v>13</v>
      </c>
      <c r="D862" t="s">
        <v>26</v>
      </c>
      <c r="E862" t="s">
        <v>43</v>
      </c>
      <c r="F862" s="4">
        <v>4</v>
      </c>
      <c r="G862" s="4">
        <v>101480.4</v>
      </c>
      <c r="H862" s="4">
        <v>73197.17</v>
      </c>
      <c r="I862" s="8">
        <v>0.1</v>
      </c>
      <c r="J862" s="4">
        <v>28283.23</v>
      </c>
      <c r="K862" s="4" t="str">
        <f t="shared" si="52"/>
        <v>December</v>
      </c>
      <c r="L862">
        <f t="shared" si="53"/>
        <v>12</v>
      </c>
      <c r="M862" s="9">
        <f t="shared" si="54"/>
        <v>0.27870633146893392</v>
      </c>
      <c r="N862" s="9">
        <f t="shared" si="55"/>
        <v>9.3976012611760658E-4</v>
      </c>
    </row>
    <row r="863" spans="1:14" x14ac:dyDescent="0.35">
      <c r="A863" s="6">
        <v>44960</v>
      </c>
      <c r="B863" t="s">
        <v>9</v>
      </c>
      <c r="C863" t="s">
        <v>20</v>
      </c>
      <c r="D863" t="s">
        <v>25</v>
      </c>
      <c r="E863" t="s">
        <v>29</v>
      </c>
      <c r="F863" s="4">
        <v>6</v>
      </c>
      <c r="G863" s="4">
        <v>136338</v>
      </c>
      <c r="H863" s="4">
        <v>78245.77</v>
      </c>
      <c r="I863" s="8">
        <v>0</v>
      </c>
      <c r="J863" s="4">
        <v>58092.23</v>
      </c>
      <c r="K863" s="4" t="str">
        <f t="shared" si="52"/>
        <v>February</v>
      </c>
      <c r="L863">
        <f t="shared" si="53"/>
        <v>2</v>
      </c>
      <c r="M863" s="9">
        <f t="shared" si="54"/>
        <v>0.42608979154747761</v>
      </c>
      <c r="N863" s="9">
        <f t="shared" si="55"/>
        <v>1.2625592338483319E-3</v>
      </c>
    </row>
    <row r="864" spans="1:14" x14ac:dyDescent="0.35">
      <c r="A864" s="6">
        <v>45108</v>
      </c>
      <c r="B864" t="s">
        <v>12</v>
      </c>
      <c r="C864" t="s">
        <v>23</v>
      </c>
      <c r="D864" t="s">
        <v>26</v>
      </c>
      <c r="E864" t="s">
        <v>34</v>
      </c>
      <c r="F864" s="4">
        <v>1</v>
      </c>
      <c r="G864" s="4">
        <v>25064.799999999999</v>
      </c>
      <c r="H864" s="4">
        <v>14817.05</v>
      </c>
      <c r="I864" s="8">
        <v>0.2</v>
      </c>
      <c r="J864" s="4">
        <v>10247.75</v>
      </c>
      <c r="K864" s="4" t="str">
        <f t="shared" si="52"/>
        <v>July</v>
      </c>
      <c r="L864">
        <f t="shared" si="53"/>
        <v>7</v>
      </c>
      <c r="M864" s="9">
        <f t="shared" si="54"/>
        <v>0.40885026012575404</v>
      </c>
      <c r="N864" s="9">
        <f t="shared" si="55"/>
        <v>2.3211279822618543E-4</v>
      </c>
    </row>
    <row r="865" spans="1:14" x14ac:dyDescent="0.35">
      <c r="A865" s="6">
        <v>45181</v>
      </c>
      <c r="B865" t="s">
        <v>12</v>
      </c>
      <c r="C865" t="s">
        <v>21</v>
      </c>
      <c r="D865" t="s">
        <v>27</v>
      </c>
      <c r="E865" t="s">
        <v>40</v>
      </c>
      <c r="F865" s="4">
        <v>2</v>
      </c>
      <c r="G865" s="4">
        <v>5693.4</v>
      </c>
      <c r="H865" s="4">
        <v>3277.07</v>
      </c>
      <c r="I865" s="8">
        <v>0.1</v>
      </c>
      <c r="J865" s="4">
        <v>2416.33</v>
      </c>
      <c r="K865" s="4" t="str">
        <f t="shared" si="52"/>
        <v>September</v>
      </c>
      <c r="L865">
        <f t="shared" si="53"/>
        <v>9</v>
      </c>
      <c r="M865" s="9">
        <f t="shared" si="54"/>
        <v>0.42440896476622053</v>
      </c>
      <c r="N865" s="9">
        <f t="shared" si="55"/>
        <v>5.2723780178615589E-5</v>
      </c>
    </row>
    <row r="866" spans="1:14" x14ac:dyDescent="0.35">
      <c r="A866" s="6">
        <v>45184</v>
      </c>
      <c r="B866" t="s">
        <v>11</v>
      </c>
      <c r="C866" t="s">
        <v>18</v>
      </c>
      <c r="D866" t="s">
        <v>25</v>
      </c>
      <c r="E866" t="s">
        <v>37</v>
      </c>
      <c r="F866" s="4">
        <v>4</v>
      </c>
      <c r="G866" s="4">
        <v>75587.199999999997</v>
      </c>
      <c r="H866" s="4">
        <v>57836.83</v>
      </c>
      <c r="I866" s="8">
        <v>0.2</v>
      </c>
      <c r="J866" s="4">
        <v>17750.37</v>
      </c>
      <c r="K866" s="4" t="str">
        <f t="shared" si="52"/>
        <v>September</v>
      </c>
      <c r="L866">
        <f t="shared" si="53"/>
        <v>9</v>
      </c>
      <c r="M866" s="9">
        <f t="shared" si="54"/>
        <v>0.23483301405528978</v>
      </c>
      <c r="N866" s="9">
        <f t="shared" si="55"/>
        <v>6.9997592249219313E-4</v>
      </c>
    </row>
    <row r="867" spans="1:14" x14ac:dyDescent="0.35">
      <c r="A867" s="6">
        <v>45197</v>
      </c>
      <c r="B867" t="s">
        <v>9</v>
      </c>
      <c r="C867" t="s">
        <v>13</v>
      </c>
      <c r="D867" t="s">
        <v>25</v>
      </c>
      <c r="E867" t="s">
        <v>32</v>
      </c>
      <c r="F867" s="4">
        <v>2</v>
      </c>
      <c r="G867" s="4">
        <v>23825.5</v>
      </c>
      <c r="H867" s="4">
        <v>17881.27</v>
      </c>
      <c r="I867" s="8">
        <v>0.15</v>
      </c>
      <c r="J867" s="4">
        <v>5944.23</v>
      </c>
      <c r="K867" s="4" t="str">
        <f t="shared" si="52"/>
        <v>September</v>
      </c>
      <c r="L867">
        <f t="shared" si="53"/>
        <v>9</v>
      </c>
      <c r="M867" s="9">
        <f t="shared" si="54"/>
        <v>0.24949025204088054</v>
      </c>
      <c r="N867" s="9">
        <f t="shared" si="55"/>
        <v>2.2063624980602203E-4</v>
      </c>
    </row>
    <row r="868" spans="1:14" x14ac:dyDescent="0.35">
      <c r="A868" s="6">
        <v>45104</v>
      </c>
      <c r="B868" t="s">
        <v>12</v>
      </c>
      <c r="C868" t="s">
        <v>23</v>
      </c>
      <c r="D868" t="s">
        <v>27</v>
      </c>
      <c r="E868" t="s">
        <v>40</v>
      </c>
      <c r="F868" s="4">
        <v>2</v>
      </c>
      <c r="G868" s="4">
        <v>79115.199999999997</v>
      </c>
      <c r="H868" s="4">
        <v>48884.3</v>
      </c>
      <c r="I868" s="8">
        <v>0.2</v>
      </c>
      <c r="J868" s="4">
        <v>30230.9</v>
      </c>
      <c r="K868" s="4" t="str">
        <f t="shared" si="52"/>
        <v>June</v>
      </c>
      <c r="L868">
        <f t="shared" si="53"/>
        <v>6</v>
      </c>
      <c r="M868" s="9">
        <f t="shared" si="54"/>
        <v>0.38211241329099849</v>
      </c>
      <c r="N868" s="9">
        <f t="shared" si="55"/>
        <v>7.326469971523533E-4</v>
      </c>
    </row>
    <row r="869" spans="1:14" x14ac:dyDescent="0.35">
      <c r="A869" s="6">
        <v>45181</v>
      </c>
      <c r="B869" t="s">
        <v>9</v>
      </c>
      <c r="C869" t="s">
        <v>20</v>
      </c>
      <c r="D869" t="s">
        <v>26</v>
      </c>
      <c r="E869" t="s">
        <v>35</v>
      </c>
      <c r="F869" s="4">
        <v>7</v>
      </c>
      <c r="G869" s="4">
        <v>228640.65</v>
      </c>
      <c r="H869" s="4">
        <v>164415.4</v>
      </c>
      <c r="I869" s="8">
        <v>0.15</v>
      </c>
      <c r="J869" s="4">
        <v>64225.25</v>
      </c>
      <c r="K869" s="4" t="str">
        <f t="shared" si="52"/>
        <v>September</v>
      </c>
      <c r="L869">
        <f t="shared" si="53"/>
        <v>9</v>
      </c>
      <c r="M869" s="9">
        <f t="shared" si="54"/>
        <v>0.28090039981954218</v>
      </c>
      <c r="N869" s="9">
        <f t="shared" si="55"/>
        <v>2.117328726331504E-3</v>
      </c>
    </row>
    <row r="870" spans="1:14" x14ac:dyDescent="0.35">
      <c r="A870" s="6">
        <v>45077</v>
      </c>
      <c r="B870" t="s">
        <v>9</v>
      </c>
      <c r="C870" t="s">
        <v>13</v>
      </c>
      <c r="D870" t="s">
        <v>28</v>
      </c>
      <c r="E870" t="s">
        <v>39</v>
      </c>
      <c r="F870" s="4">
        <v>4</v>
      </c>
      <c r="G870" s="4">
        <v>78329.2</v>
      </c>
      <c r="H870" s="4">
        <v>55155.94</v>
      </c>
      <c r="I870" s="8">
        <v>0.15</v>
      </c>
      <c r="J870" s="4">
        <v>23173.26</v>
      </c>
      <c r="K870" s="4" t="str">
        <f t="shared" si="52"/>
        <v>May</v>
      </c>
      <c r="L870">
        <f t="shared" si="53"/>
        <v>5</v>
      </c>
      <c r="M870" s="9">
        <f t="shared" si="54"/>
        <v>0.29584446158010036</v>
      </c>
      <c r="N870" s="9">
        <f t="shared" si="55"/>
        <v>7.2536823732160334E-4</v>
      </c>
    </row>
    <row r="871" spans="1:14" x14ac:dyDescent="0.35">
      <c r="A871" s="6">
        <v>45077</v>
      </c>
      <c r="B871" t="s">
        <v>12</v>
      </c>
      <c r="C871" t="s">
        <v>23</v>
      </c>
      <c r="D871" t="s">
        <v>26</v>
      </c>
      <c r="E871" t="s">
        <v>43</v>
      </c>
      <c r="F871" s="4">
        <v>5</v>
      </c>
      <c r="G871" s="4">
        <v>80514</v>
      </c>
      <c r="H871" s="4">
        <v>61336.959999999999</v>
      </c>
      <c r="I871" s="8">
        <v>0.1</v>
      </c>
      <c r="J871" s="4">
        <v>19177.04</v>
      </c>
      <c r="K871" s="4" t="str">
        <f t="shared" si="52"/>
        <v>May</v>
      </c>
      <c r="L871">
        <f t="shared" si="53"/>
        <v>5</v>
      </c>
      <c r="M871" s="9">
        <f t="shared" si="54"/>
        <v>0.23818267630474205</v>
      </c>
      <c r="N871" s="9">
        <f t="shared" si="55"/>
        <v>7.4560059670865494E-4</v>
      </c>
    </row>
    <row r="872" spans="1:14" x14ac:dyDescent="0.35">
      <c r="A872" s="6">
        <v>45226</v>
      </c>
      <c r="B872" t="s">
        <v>9</v>
      </c>
      <c r="C872" t="s">
        <v>20</v>
      </c>
      <c r="D872" t="s">
        <v>27</v>
      </c>
      <c r="E872" t="s">
        <v>40</v>
      </c>
      <c r="F872" s="4">
        <v>4</v>
      </c>
      <c r="G872" s="4">
        <v>16675.2</v>
      </c>
      <c r="H872" s="4">
        <v>10496.64</v>
      </c>
      <c r="I872" s="8">
        <v>0.2</v>
      </c>
      <c r="J872" s="4">
        <v>6178.56</v>
      </c>
      <c r="K872" s="4" t="str">
        <f t="shared" si="52"/>
        <v>October</v>
      </c>
      <c r="L872">
        <f t="shared" si="53"/>
        <v>10</v>
      </c>
      <c r="M872" s="9">
        <f t="shared" si="54"/>
        <v>0.37052389176741507</v>
      </c>
      <c r="N872" s="9">
        <f t="shared" si="55"/>
        <v>1.5442083451618554E-4</v>
      </c>
    </row>
    <row r="873" spans="1:14" x14ac:dyDescent="0.35">
      <c r="A873" s="6">
        <v>45170</v>
      </c>
      <c r="B873" t="s">
        <v>11</v>
      </c>
      <c r="C873" t="s">
        <v>18</v>
      </c>
      <c r="D873" t="s">
        <v>27</v>
      </c>
      <c r="E873" t="s">
        <v>31</v>
      </c>
      <c r="F873" s="4">
        <v>1</v>
      </c>
      <c r="G873" s="4">
        <v>26831</v>
      </c>
      <c r="H873" s="4">
        <v>18368.259999999998</v>
      </c>
      <c r="I873" s="8">
        <v>0</v>
      </c>
      <c r="J873" s="4">
        <v>8462.74</v>
      </c>
      <c r="K873" s="4" t="str">
        <f t="shared" si="52"/>
        <v>September</v>
      </c>
      <c r="L873">
        <f t="shared" si="53"/>
        <v>9</v>
      </c>
      <c r="M873" s="9">
        <f t="shared" si="54"/>
        <v>0.31540904178003054</v>
      </c>
      <c r="N873" s="9">
        <f t="shared" si="55"/>
        <v>2.4846870867538466E-4</v>
      </c>
    </row>
    <row r="874" spans="1:14" x14ac:dyDescent="0.35">
      <c r="A874" s="6">
        <v>45291</v>
      </c>
      <c r="B874" t="s">
        <v>10</v>
      </c>
      <c r="C874" t="s">
        <v>22</v>
      </c>
      <c r="D874" t="s">
        <v>27</v>
      </c>
      <c r="E874" t="s">
        <v>41</v>
      </c>
      <c r="F874" s="4">
        <v>6</v>
      </c>
      <c r="G874" s="4">
        <v>234494.4</v>
      </c>
      <c r="H874" s="4">
        <v>155075.49</v>
      </c>
      <c r="I874" s="8">
        <v>0.2</v>
      </c>
      <c r="J874" s="4">
        <v>79418.91</v>
      </c>
      <c r="K874" s="4" t="str">
        <f t="shared" si="52"/>
        <v>December</v>
      </c>
      <c r="L874">
        <f t="shared" si="53"/>
        <v>12</v>
      </c>
      <c r="M874" s="9">
        <f t="shared" si="54"/>
        <v>0.33868147810779281</v>
      </c>
      <c r="N874" s="9">
        <f t="shared" si="55"/>
        <v>2.1715374290786449E-3</v>
      </c>
    </row>
    <row r="875" spans="1:14" x14ac:dyDescent="0.35">
      <c r="A875" s="6">
        <v>44997</v>
      </c>
      <c r="B875" t="s">
        <v>11</v>
      </c>
      <c r="C875" t="s">
        <v>18</v>
      </c>
      <c r="D875" t="s">
        <v>28</v>
      </c>
      <c r="E875" t="s">
        <v>42</v>
      </c>
      <c r="F875" s="4">
        <v>2</v>
      </c>
      <c r="G875" s="4">
        <v>71197.7</v>
      </c>
      <c r="H875" s="4">
        <v>50345.71</v>
      </c>
      <c r="I875" s="8">
        <v>0.15</v>
      </c>
      <c r="J875" s="4">
        <v>20851.990000000002</v>
      </c>
      <c r="K875" s="4" t="str">
        <f t="shared" si="52"/>
        <v>March</v>
      </c>
      <c r="L875">
        <f t="shared" si="53"/>
        <v>3</v>
      </c>
      <c r="M875" s="9">
        <f t="shared" si="54"/>
        <v>0.29287448892309725</v>
      </c>
      <c r="N875" s="9">
        <f t="shared" si="55"/>
        <v>6.5932691959514863E-4</v>
      </c>
    </row>
    <row r="876" spans="1:14" x14ac:dyDescent="0.35">
      <c r="A876" s="6">
        <v>45187</v>
      </c>
      <c r="B876" t="s">
        <v>11</v>
      </c>
      <c r="C876" t="s">
        <v>16</v>
      </c>
      <c r="D876" t="s">
        <v>26</v>
      </c>
      <c r="E876" t="s">
        <v>43</v>
      </c>
      <c r="F876" s="4">
        <v>3</v>
      </c>
      <c r="G876" s="4">
        <v>141786</v>
      </c>
      <c r="H876" s="4">
        <v>86333.08</v>
      </c>
      <c r="I876" s="8">
        <v>0</v>
      </c>
      <c r="J876" s="4">
        <v>55452.92</v>
      </c>
      <c r="K876" s="4" t="str">
        <f t="shared" si="52"/>
        <v>September</v>
      </c>
      <c r="L876">
        <f t="shared" si="53"/>
        <v>9</v>
      </c>
      <c r="M876" s="9">
        <f t="shared" si="54"/>
        <v>0.39110292976739591</v>
      </c>
      <c r="N876" s="9">
        <f t="shared" si="55"/>
        <v>1.3130104851942935E-3</v>
      </c>
    </row>
    <row r="877" spans="1:14" x14ac:dyDescent="0.35">
      <c r="A877" s="6">
        <v>45262</v>
      </c>
      <c r="B877" t="s">
        <v>12</v>
      </c>
      <c r="C877" t="s">
        <v>21</v>
      </c>
      <c r="D877" t="s">
        <v>28</v>
      </c>
      <c r="E877" t="s">
        <v>42</v>
      </c>
      <c r="F877" s="4">
        <v>2</v>
      </c>
      <c r="G877" s="4">
        <v>10225.5</v>
      </c>
      <c r="H877" s="4">
        <v>7972.11</v>
      </c>
      <c r="I877" s="8">
        <v>0.15</v>
      </c>
      <c r="J877" s="4">
        <v>2253.39</v>
      </c>
      <c r="K877" s="4" t="str">
        <f t="shared" si="52"/>
        <v>December</v>
      </c>
      <c r="L877">
        <f t="shared" si="53"/>
        <v>12</v>
      </c>
      <c r="M877" s="9">
        <f t="shared" si="54"/>
        <v>0.22036966407510633</v>
      </c>
      <c r="N877" s="9">
        <f t="shared" si="55"/>
        <v>9.4693331614928466E-5</v>
      </c>
    </row>
    <row r="878" spans="1:14" x14ac:dyDescent="0.35">
      <c r="A878" s="6">
        <v>44987</v>
      </c>
      <c r="B878" t="s">
        <v>11</v>
      </c>
      <c r="C878" t="s">
        <v>16</v>
      </c>
      <c r="D878" t="s">
        <v>25</v>
      </c>
      <c r="E878" t="s">
        <v>37</v>
      </c>
      <c r="F878" s="4">
        <v>2</v>
      </c>
      <c r="G878" s="4">
        <v>42430.400000000001</v>
      </c>
      <c r="H878" s="4">
        <v>27946.05</v>
      </c>
      <c r="I878" s="8">
        <v>0.2</v>
      </c>
      <c r="J878" s="4">
        <v>14484.35</v>
      </c>
      <c r="K878" s="4" t="str">
        <f t="shared" si="52"/>
        <v>March</v>
      </c>
      <c r="L878">
        <f t="shared" si="53"/>
        <v>3</v>
      </c>
      <c r="M878" s="9">
        <f t="shared" si="54"/>
        <v>0.34136727440702891</v>
      </c>
      <c r="N878" s="9">
        <f t="shared" si="55"/>
        <v>3.9292708794230708E-4</v>
      </c>
    </row>
    <row r="879" spans="1:14" x14ac:dyDescent="0.35">
      <c r="A879" s="6">
        <v>45031</v>
      </c>
      <c r="B879" t="s">
        <v>12</v>
      </c>
      <c r="C879" t="s">
        <v>24</v>
      </c>
      <c r="D879" t="s">
        <v>25</v>
      </c>
      <c r="E879" t="s">
        <v>29</v>
      </c>
      <c r="F879" s="4">
        <v>6</v>
      </c>
      <c r="G879" s="4">
        <v>169260</v>
      </c>
      <c r="H879" s="4">
        <v>106897.02</v>
      </c>
      <c r="I879" s="8">
        <v>0</v>
      </c>
      <c r="J879" s="4">
        <v>62362.98</v>
      </c>
      <c r="K879" s="4" t="str">
        <f t="shared" si="52"/>
        <v>April</v>
      </c>
      <c r="L879">
        <f t="shared" si="53"/>
        <v>4</v>
      </c>
      <c r="M879" s="9">
        <f t="shared" si="54"/>
        <v>0.36844487770294226</v>
      </c>
      <c r="N879" s="9">
        <f t="shared" si="55"/>
        <v>1.5674337009576834E-3</v>
      </c>
    </row>
    <row r="880" spans="1:14" x14ac:dyDescent="0.35">
      <c r="A880" s="6">
        <v>45002</v>
      </c>
      <c r="B880" t="s">
        <v>10</v>
      </c>
      <c r="C880" t="s">
        <v>14</v>
      </c>
      <c r="D880" t="s">
        <v>27</v>
      </c>
      <c r="E880" t="s">
        <v>40</v>
      </c>
      <c r="F880" s="4">
        <v>5</v>
      </c>
      <c r="G880" s="4">
        <v>108413.25</v>
      </c>
      <c r="H880" s="4">
        <v>65815.820000000007</v>
      </c>
      <c r="I880" s="8">
        <v>0.15</v>
      </c>
      <c r="J880" s="4">
        <v>42597.43</v>
      </c>
      <c r="K880" s="4" t="str">
        <f t="shared" si="52"/>
        <v>March</v>
      </c>
      <c r="L880">
        <f t="shared" si="53"/>
        <v>3</v>
      </c>
      <c r="M880" s="9">
        <f t="shared" si="54"/>
        <v>0.39291719416215271</v>
      </c>
      <c r="N880" s="9">
        <f t="shared" si="55"/>
        <v>1.0039618437926892E-3</v>
      </c>
    </row>
    <row r="881" spans="1:14" x14ac:dyDescent="0.35">
      <c r="A881" s="6">
        <v>45177</v>
      </c>
      <c r="B881" t="s">
        <v>11</v>
      </c>
      <c r="C881" t="s">
        <v>16</v>
      </c>
      <c r="D881" t="s">
        <v>28</v>
      </c>
      <c r="E881" t="s">
        <v>36</v>
      </c>
      <c r="F881" s="4">
        <v>1</v>
      </c>
      <c r="G881" s="4">
        <v>23007.1</v>
      </c>
      <c r="H881" s="4">
        <v>13333.99</v>
      </c>
      <c r="I881" s="8">
        <v>0.05</v>
      </c>
      <c r="J881" s="4">
        <v>9673.11</v>
      </c>
      <c r="K881" s="4" t="str">
        <f t="shared" si="52"/>
        <v>September</v>
      </c>
      <c r="L881">
        <f t="shared" si="53"/>
        <v>9</v>
      </c>
      <c r="M881" s="9">
        <f t="shared" si="54"/>
        <v>0.42044021193457676</v>
      </c>
      <c r="N881" s="9">
        <f t="shared" si="55"/>
        <v>2.1305744949369916E-4</v>
      </c>
    </row>
    <row r="882" spans="1:14" x14ac:dyDescent="0.35">
      <c r="A882" s="6">
        <v>45220</v>
      </c>
      <c r="B882" t="s">
        <v>9</v>
      </c>
      <c r="C882" t="s">
        <v>15</v>
      </c>
      <c r="D882" t="s">
        <v>28</v>
      </c>
      <c r="E882" t="s">
        <v>36</v>
      </c>
      <c r="F882" s="4">
        <v>6</v>
      </c>
      <c r="G882" s="4">
        <v>235809</v>
      </c>
      <c r="H882" s="4">
        <v>164937.07999999999</v>
      </c>
      <c r="I882" s="8">
        <v>0.05</v>
      </c>
      <c r="J882" s="4">
        <v>70871.92</v>
      </c>
      <c r="K882" s="4" t="str">
        <f t="shared" si="52"/>
        <v>October</v>
      </c>
      <c r="L882">
        <f t="shared" si="53"/>
        <v>10</v>
      </c>
      <c r="M882" s="9">
        <f t="shared" si="54"/>
        <v>0.30054798586992015</v>
      </c>
      <c r="N882" s="9">
        <f t="shared" si="55"/>
        <v>2.1837112938032045E-3</v>
      </c>
    </row>
    <row r="883" spans="1:14" x14ac:dyDescent="0.35">
      <c r="A883" s="6">
        <v>44975</v>
      </c>
      <c r="B883" t="s">
        <v>9</v>
      </c>
      <c r="C883" t="s">
        <v>20</v>
      </c>
      <c r="D883" t="s">
        <v>26</v>
      </c>
      <c r="E883" t="s">
        <v>43</v>
      </c>
      <c r="F883" s="4">
        <v>3</v>
      </c>
      <c r="G883" s="4">
        <v>118636.2</v>
      </c>
      <c r="H883" s="4">
        <v>80216.97</v>
      </c>
      <c r="I883" s="8">
        <v>0.15</v>
      </c>
      <c r="J883" s="4">
        <v>38419.230000000003</v>
      </c>
      <c r="K883" s="4" t="str">
        <f t="shared" si="52"/>
        <v>February</v>
      </c>
      <c r="L883">
        <f t="shared" si="53"/>
        <v>2</v>
      </c>
      <c r="M883" s="9">
        <f t="shared" si="54"/>
        <v>0.32384069955039024</v>
      </c>
      <c r="N883" s="9">
        <f t="shared" si="55"/>
        <v>1.0986315611104568E-3</v>
      </c>
    </row>
    <row r="884" spans="1:14" x14ac:dyDescent="0.35">
      <c r="A884" s="6">
        <v>45142</v>
      </c>
      <c r="B884" t="s">
        <v>11</v>
      </c>
      <c r="C884" t="s">
        <v>17</v>
      </c>
      <c r="D884" t="s">
        <v>28</v>
      </c>
      <c r="E884" t="s">
        <v>42</v>
      </c>
      <c r="F884" s="4">
        <v>7</v>
      </c>
      <c r="G884" s="4">
        <v>267031.8</v>
      </c>
      <c r="H884" s="4">
        <v>181213.76</v>
      </c>
      <c r="I884" s="8">
        <v>0.1</v>
      </c>
      <c r="J884" s="4">
        <v>85818.04</v>
      </c>
      <c r="K884" s="4" t="str">
        <f t="shared" si="52"/>
        <v>August</v>
      </c>
      <c r="L884">
        <f t="shared" si="53"/>
        <v>8</v>
      </c>
      <c r="M884" s="9">
        <f t="shared" si="54"/>
        <v>0.32137760371611168</v>
      </c>
      <c r="N884" s="9">
        <f t="shared" si="55"/>
        <v>2.4728503045456218E-3</v>
      </c>
    </row>
    <row r="885" spans="1:14" x14ac:dyDescent="0.35">
      <c r="A885" s="6">
        <v>45121</v>
      </c>
      <c r="B885" t="s">
        <v>12</v>
      </c>
      <c r="C885" t="s">
        <v>24</v>
      </c>
      <c r="D885" t="s">
        <v>26</v>
      </c>
      <c r="E885" t="s">
        <v>43</v>
      </c>
      <c r="F885" s="4">
        <v>7</v>
      </c>
      <c r="G885" s="4">
        <v>38304</v>
      </c>
      <c r="H885" s="4">
        <v>25442.36</v>
      </c>
      <c r="I885" s="8">
        <v>0.1</v>
      </c>
      <c r="J885" s="4">
        <v>12861.64</v>
      </c>
      <c r="K885" s="4" t="str">
        <f t="shared" si="52"/>
        <v>July</v>
      </c>
      <c r="L885">
        <f t="shared" si="53"/>
        <v>7</v>
      </c>
      <c r="M885" s="9">
        <f t="shared" si="54"/>
        <v>0.33577798663324976</v>
      </c>
      <c r="N885" s="9">
        <f t="shared" si="55"/>
        <v>3.5471452488173877E-4</v>
      </c>
    </row>
    <row r="886" spans="1:14" x14ac:dyDescent="0.35">
      <c r="A886" s="6">
        <v>45238</v>
      </c>
      <c r="B886" t="s">
        <v>10</v>
      </c>
      <c r="C886" t="s">
        <v>14</v>
      </c>
      <c r="D886" t="s">
        <v>28</v>
      </c>
      <c r="E886" t="s">
        <v>36</v>
      </c>
      <c r="F886" s="4">
        <v>1</v>
      </c>
      <c r="G886" s="4">
        <v>39023</v>
      </c>
      <c r="H886" s="4">
        <v>22547.01</v>
      </c>
      <c r="I886" s="8">
        <v>0</v>
      </c>
      <c r="J886" s="4">
        <v>16475.990000000002</v>
      </c>
      <c r="K886" s="4" t="str">
        <f t="shared" si="52"/>
        <v>November</v>
      </c>
      <c r="L886">
        <f t="shared" si="53"/>
        <v>11</v>
      </c>
      <c r="M886" s="9">
        <f t="shared" si="54"/>
        <v>0.4222122850626554</v>
      </c>
      <c r="N886" s="9">
        <f t="shared" si="55"/>
        <v>3.6137283063022383E-4</v>
      </c>
    </row>
    <row r="887" spans="1:14" x14ac:dyDescent="0.35">
      <c r="A887" s="6">
        <v>45077</v>
      </c>
      <c r="B887" t="s">
        <v>11</v>
      </c>
      <c r="C887" t="s">
        <v>17</v>
      </c>
      <c r="D887" t="s">
        <v>26</v>
      </c>
      <c r="E887" t="s">
        <v>35</v>
      </c>
      <c r="F887" s="4">
        <v>2</v>
      </c>
      <c r="G887" s="4">
        <v>20188.8</v>
      </c>
      <c r="H887" s="4">
        <v>11417.8</v>
      </c>
      <c r="I887" s="8">
        <v>0.2</v>
      </c>
      <c r="J887" s="4">
        <v>8771</v>
      </c>
      <c r="K887" s="4" t="str">
        <f t="shared" si="52"/>
        <v>May</v>
      </c>
      <c r="L887">
        <f t="shared" si="53"/>
        <v>5</v>
      </c>
      <c r="M887" s="9">
        <f t="shared" si="54"/>
        <v>0.43444880329687752</v>
      </c>
      <c r="N887" s="9">
        <f t="shared" si="55"/>
        <v>1.8695855785120217E-4</v>
      </c>
    </row>
    <row r="888" spans="1:14" x14ac:dyDescent="0.35">
      <c r="A888" s="6">
        <v>44971</v>
      </c>
      <c r="B888" t="s">
        <v>11</v>
      </c>
      <c r="C888" t="s">
        <v>16</v>
      </c>
      <c r="D888" t="s">
        <v>27</v>
      </c>
      <c r="E888" t="s">
        <v>40</v>
      </c>
      <c r="F888" s="4">
        <v>1</v>
      </c>
      <c r="G888" s="4">
        <v>2845.6</v>
      </c>
      <c r="H888" s="4">
        <v>2175.36</v>
      </c>
      <c r="I888" s="8">
        <v>0.2</v>
      </c>
      <c r="J888" s="4">
        <v>670.24</v>
      </c>
      <c r="K888" s="4" t="str">
        <f t="shared" si="52"/>
        <v>February</v>
      </c>
      <c r="L888">
        <f t="shared" si="53"/>
        <v>2</v>
      </c>
      <c r="M888" s="9">
        <f t="shared" si="54"/>
        <v>0.23553556367725612</v>
      </c>
      <c r="N888" s="9">
        <f t="shared" si="55"/>
        <v>2.6351703529748221E-5</v>
      </c>
    </row>
    <row r="889" spans="1:14" x14ac:dyDescent="0.35">
      <c r="A889" s="6">
        <v>45226</v>
      </c>
      <c r="B889" t="s">
        <v>10</v>
      </c>
      <c r="C889" t="s">
        <v>19</v>
      </c>
      <c r="D889" t="s">
        <v>28</v>
      </c>
      <c r="E889" t="s">
        <v>44</v>
      </c>
      <c r="F889" s="4">
        <v>4</v>
      </c>
      <c r="G889" s="4">
        <v>48548.6</v>
      </c>
      <c r="H889" s="4">
        <v>38514.339999999997</v>
      </c>
      <c r="I889" s="8">
        <v>0.15</v>
      </c>
      <c r="J889" s="4">
        <v>10034.26</v>
      </c>
      <c r="K889" s="4" t="str">
        <f t="shared" si="52"/>
        <v>October</v>
      </c>
      <c r="L889">
        <f t="shared" si="53"/>
        <v>10</v>
      </c>
      <c r="M889" s="9">
        <f t="shared" si="54"/>
        <v>0.20668484776080054</v>
      </c>
      <c r="N889" s="9">
        <f t="shared" si="55"/>
        <v>4.4958473221265623E-4</v>
      </c>
    </row>
    <row r="890" spans="1:14" x14ac:dyDescent="0.35">
      <c r="A890" s="6">
        <v>44968</v>
      </c>
      <c r="B890" t="s">
        <v>9</v>
      </c>
      <c r="C890" t="s">
        <v>13</v>
      </c>
      <c r="D890" t="s">
        <v>26</v>
      </c>
      <c r="E890" t="s">
        <v>43</v>
      </c>
      <c r="F890" s="4">
        <v>4</v>
      </c>
      <c r="G890" s="4">
        <v>46454.400000000001</v>
      </c>
      <c r="H890" s="4">
        <v>25632.87</v>
      </c>
      <c r="I890" s="8">
        <v>0.2</v>
      </c>
      <c r="J890" s="4">
        <v>20821.53</v>
      </c>
      <c r="K890" s="4" t="str">
        <f t="shared" si="52"/>
        <v>February</v>
      </c>
      <c r="L890">
        <f t="shared" si="53"/>
        <v>2</v>
      </c>
      <c r="M890" s="9">
        <f t="shared" si="54"/>
        <v>0.44821437797065505</v>
      </c>
      <c r="N890" s="9">
        <f t="shared" si="55"/>
        <v>4.3019137491296592E-4</v>
      </c>
    </row>
    <row r="891" spans="1:14" x14ac:dyDescent="0.35">
      <c r="A891" s="6">
        <v>45105</v>
      </c>
      <c r="B891" t="s">
        <v>12</v>
      </c>
      <c r="C891" t="s">
        <v>23</v>
      </c>
      <c r="D891" t="s">
        <v>25</v>
      </c>
      <c r="E891" t="s">
        <v>33</v>
      </c>
      <c r="F891" s="4">
        <v>2</v>
      </c>
      <c r="G891" s="4">
        <v>25799.4</v>
      </c>
      <c r="H891" s="4">
        <v>20534.46</v>
      </c>
      <c r="I891" s="8">
        <v>0.1</v>
      </c>
      <c r="J891" s="4">
        <v>5264.94</v>
      </c>
      <c r="K891" s="4" t="str">
        <f t="shared" si="52"/>
        <v>June</v>
      </c>
      <c r="L891">
        <f t="shared" si="53"/>
        <v>6</v>
      </c>
      <c r="M891" s="9">
        <f t="shared" si="54"/>
        <v>0.20407218772529592</v>
      </c>
      <c r="N891" s="9">
        <f t="shared" si="55"/>
        <v>2.3891556791024259E-4</v>
      </c>
    </row>
    <row r="892" spans="1:14" x14ac:dyDescent="0.35">
      <c r="A892" s="6">
        <v>44975</v>
      </c>
      <c r="B892" t="s">
        <v>12</v>
      </c>
      <c r="C892" t="s">
        <v>23</v>
      </c>
      <c r="D892" t="s">
        <v>26</v>
      </c>
      <c r="E892" t="s">
        <v>43</v>
      </c>
      <c r="F892" s="4">
        <v>7</v>
      </c>
      <c r="G892" s="4">
        <v>20434.400000000001</v>
      </c>
      <c r="H892" s="4">
        <v>15151.44</v>
      </c>
      <c r="I892" s="8">
        <v>0.2</v>
      </c>
      <c r="J892" s="4">
        <v>5282.96</v>
      </c>
      <c r="K892" s="4" t="str">
        <f t="shared" si="52"/>
        <v>February</v>
      </c>
      <c r="L892">
        <f t="shared" si="53"/>
        <v>2</v>
      </c>
      <c r="M892" s="9">
        <f t="shared" si="54"/>
        <v>0.25853267039893513</v>
      </c>
      <c r="N892" s="9">
        <f t="shared" si="55"/>
        <v>1.892329387855943E-4</v>
      </c>
    </row>
    <row r="893" spans="1:14" x14ac:dyDescent="0.35">
      <c r="A893" s="6">
        <v>45092</v>
      </c>
      <c r="B893" t="s">
        <v>12</v>
      </c>
      <c r="C893" t="s">
        <v>23</v>
      </c>
      <c r="D893" t="s">
        <v>27</v>
      </c>
      <c r="E893" t="s">
        <v>41</v>
      </c>
      <c r="F893" s="4">
        <v>1</v>
      </c>
      <c r="G893" s="4">
        <v>30424.9</v>
      </c>
      <c r="H893" s="4">
        <v>21342.28</v>
      </c>
      <c r="I893" s="8">
        <v>0.15</v>
      </c>
      <c r="J893" s="4">
        <v>9082.6200000000008</v>
      </c>
      <c r="K893" s="4" t="str">
        <f t="shared" si="52"/>
        <v>June</v>
      </c>
      <c r="L893">
        <f t="shared" si="53"/>
        <v>6</v>
      </c>
      <c r="M893" s="9">
        <f t="shared" si="54"/>
        <v>0.29852587847453899</v>
      </c>
      <c r="N893" s="9">
        <f t="shared" si="55"/>
        <v>2.8175005085825017E-4</v>
      </c>
    </row>
    <row r="894" spans="1:14" x14ac:dyDescent="0.35">
      <c r="A894" s="6">
        <v>44969</v>
      </c>
      <c r="B894" t="s">
        <v>9</v>
      </c>
      <c r="C894" t="s">
        <v>15</v>
      </c>
      <c r="D894" t="s">
        <v>25</v>
      </c>
      <c r="E894" t="s">
        <v>37</v>
      </c>
      <c r="F894" s="4">
        <v>2</v>
      </c>
      <c r="G894" s="4">
        <v>98560</v>
      </c>
      <c r="H894" s="4">
        <v>68214.16</v>
      </c>
      <c r="I894" s="8">
        <v>0</v>
      </c>
      <c r="J894" s="4">
        <v>30345.84</v>
      </c>
      <c r="K894" s="4" t="str">
        <f t="shared" si="52"/>
        <v>February</v>
      </c>
      <c r="L894">
        <f t="shared" si="53"/>
        <v>2</v>
      </c>
      <c r="M894" s="9">
        <f t="shared" si="54"/>
        <v>0.30789204545454546</v>
      </c>
      <c r="N894" s="9">
        <f t="shared" si="55"/>
        <v>9.1271573653780745E-4</v>
      </c>
    </row>
    <row r="895" spans="1:14" x14ac:dyDescent="0.35">
      <c r="A895" s="6">
        <v>45145</v>
      </c>
      <c r="B895" t="s">
        <v>12</v>
      </c>
      <c r="C895" t="s">
        <v>24</v>
      </c>
      <c r="D895" t="s">
        <v>26</v>
      </c>
      <c r="E895" t="s">
        <v>34</v>
      </c>
      <c r="F895" s="4">
        <v>7</v>
      </c>
      <c r="G895" s="4">
        <v>120015</v>
      </c>
      <c r="H895" s="4">
        <v>92829.61</v>
      </c>
      <c r="I895" s="8">
        <v>0</v>
      </c>
      <c r="J895" s="4">
        <v>27185.39</v>
      </c>
      <c r="K895" s="4" t="str">
        <f t="shared" si="52"/>
        <v>August</v>
      </c>
      <c r="L895">
        <f t="shared" si="53"/>
        <v>8</v>
      </c>
      <c r="M895" s="9">
        <f t="shared" si="54"/>
        <v>0.22651660209140523</v>
      </c>
      <c r="N895" s="9">
        <f t="shared" si="55"/>
        <v>1.1113999504929481E-3</v>
      </c>
    </row>
    <row r="896" spans="1:14" x14ac:dyDescent="0.35">
      <c r="A896" s="6">
        <v>45108</v>
      </c>
      <c r="B896" t="s">
        <v>12</v>
      </c>
      <c r="C896" t="s">
        <v>21</v>
      </c>
      <c r="D896" t="s">
        <v>26</v>
      </c>
      <c r="E896" t="s">
        <v>30</v>
      </c>
      <c r="F896" s="4">
        <v>6</v>
      </c>
      <c r="G896" s="4">
        <v>49337.4</v>
      </c>
      <c r="H896" s="4">
        <v>32720.87</v>
      </c>
      <c r="I896" s="8">
        <v>0.15</v>
      </c>
      <c r="J896" s="4">
        <v>16616.53</v>
      </c>
      <c r="K896" s="4" t="str">
        <f t="shared" si="52"/>
        <v>July</v>
      </c>
      <c r="L896">
        <f t="shared" si="53"/>
        <v>7</v>
      </c>
      <c r="M896" s="9">
        <f t="shared" si="54"/>
        <v>0.33679379132260717</v>
      </c>
      <c r="N896" s="9">
        <f t="shared" si="55"/>
        <v>4.5688942146773965E-4</v>
      </c>
    </row>
    <row r="897" spans="1:14" x14ac:dyDescent="0.35">
      <c r="A897" s="6">
        <v>45279</v>
      </c>
      <c r="B897" t="s">
        <v>12</v>
      </c>
      <c r="C897" t="s">
        <v>23</v>
      </c>
      <c r="D897" t="s">
        <v>26</v>
      </c>
      <c r="E897" t="s">
        <v>43</v>
      </c>
      <c r="F897" s="4">
        <v>2</v>
      </c>
      <c r="G897" s="4">
        <v>29508</v>
      </c>
      <c r="H897" s="4">
        <v>18287.64</v>
      </c>
      <c r="I897" s="8">
        <v>0</v>
      </c>
      <c r="J897" s="4">
        <v>11220.36</v>
      </c>
      <c r="K897" s="4" t="str">
        <f t="shared" si="52"/>
        <v>December</v>
      </c>
      <c r="L897">
        <f t="shared" si="53"/>
        <v>12</v>
      </c>
      <c r="M897" s="9">
        <f t="shared" si="54"/>
        <v>0.38024806832045549</v>
      </c>
      <c r="N897" s="9">
        <f t="shared" si="55"/>
        <v>2.7325909043991091E-4</v>
      </c>
    </row>
    <row r="898" spans="1:14" x14ac:dyDescent="0.35">
      <c r="A898" s="6">
        <v>45079</v>
      </c>
      <c r="B898" t="s">
        <v>12</v>
      </c>
      <c r="C898" t="s">
        <v>23</v>
      </c>
      <c r="D898" t="s">
        <v>25</v>
      </c>
      <c r="E898" t="s">
        <v>32</v>
      </c>
      <c r="F898" s="4">
        <v>5</v>
      </c>
      <c r="G898" s="4">
        <v>203310</v>
      </c>
      <c r="H898" s="4">
        <v>134568.44</v>
      </c>
      <c r="I898" s="8">
        <v>0</v>
      </c>
      <c r="J898" s="4">
        <v>68741.56</v>
      </c>
      <c r="K898" s="4" t="str">
        <f t="shared" si="52"/>
        <v>June</v>
      </c>
      <c r="L898">
        <f t="shared" si="53"/>
        <v>6</v>
      </c>
      <c r="M898" s="9">
        <f t="shared" si="54"/>
        <v>0.33811204564458214</v>
      </c>
      <c r="N898" s="9">
        <f t="shared" si="55"/>
        <v>1.8827540218699435E-3</v>
      </c>
    </row>
    <row r="899" spans="1:14" x14ac:dyDescent="0.35">
      <c r="A899" s="6">
        <v>45280</v>
      </c>
      <c r="B899" t="s">
        <v>9</v>
      </c>
      <c r="C899" t="s">
        <v>13</v>
      </c>
      <c r="D899" t="s">
        <v>28</v>
      </c>
      <c r="E899" t="s">
        <v>39</v>
      </c>
      <c r="F899" s="4">
        <v>7</v>
      </c>
      <c r="G899" s="4">
        <v>234233.65</v>
      </c>
      <c r="H899" s="4">
        <v>135583.97</v>
      </c>
      <c r="I899" s="8">
        <v>0.15</v>
      </c>
      <c r="J899" s="4">
        <v>98649.68</v>
      </c>
      <c r="K899" s="4" t="str">
        <f t="shared" ref="K899:K962" si="56">TEXT(A899,"mmmm")</f>
        <v>December</v>
      </c>
      <c r="L899">
        <f t="shared" ref="L899:L962" si="57">MONTH(A899)</f>
        <v>12</v>
      </c>
      <c r="M899" s="9">
        <f t="shared" ref="M899:M962" si="58">J899/G899</f>
        <v>0.42115929969925325</v>
      </c>
      <c r="N899" s="9">
        <f t="shared" ref="N899:N962" si="59">G899/SUM(G:G)</f>
        <v>2.1691227514375913E-3</v>
      </c>
    </row>
    <row r="900" spans="1:14" x14ac:dyDescent="0.35">
      <c r="A900" s="6">
        <v>45013</v>
      </c>
      <c r="B900" t="s">
        <v>12</v>
      </c>
      <c r="C900" t="s">
        <v>21</v>
      </c>
      <c r="D900" t="s">
        <v>26</v>
      </c>
      <c r="E900" t="s">
        <v>35</v>
      </c>
      <c r="F900" s="4">
        <v>6</v>
      </c>
      <c r="G900" s="4">
        <v>186038.39999999999</v>
      </c>
      <c r="H900" s="4">
        <v>128871.31</v>
      </c>
      <c r="I900" s="8">
        <v>0.2</v>
      </c>
      <c r="J900" s="4">
        <v>57167.09</v>
      </c>
      <c r="K900" s="4" t="str">
        <f t="shared" si="56"/>
        <v>March</v>
      </c>
      <c r="L900">
        <f t="shared" si="57"/>
        <v>3</v>
      </c>
      <c r="M900" s="9">
        <f t="shared" si="58"/>
        <v>0.30728650644168087</v>
      </c>
      <c r="N900" s="9">
        <f t="shared" si="59"/>
        <v>1.7228102199707308E-3</v>
      </c>
    </row>
    <row r="901" spans="1:14" x14ac:dyDescent="0.35">
      <c r="A901" s="6">
        <v>45202</v>
      </c>
      <c r="B901" t="s">
        <v>12</v>
      </c>
      <c r="C901" t="s">
        <v>23</v>
      </c>
      <c r="D901" t="s">
        <v>27</v>
      </c>
      <c r="E901" t="s">
        <v>41</v>
      </c>
      <c r="F901" s="4">
        <v>3</v>
      </c>
      <c r="G901" s="4">
        <v>66228.3</v>
      </c>
      <c r="H901" s="4">
        <v>52332.71</v>
      </c>
      <c r="I901" s="8">
        <v>0.05</v>
      </c>
      <c r="J901" s="4">
        <v>13895.59</v>
      </c>
      <c r="K901" s="4" t="str">
        <f t="shared" si="56"/>
        <v>October</v>
      </c>
      <c r="L901">
        <f t="shared" si="57"/>
        <v>10</v>
      </c>
      <c r="M901" s="9">
        <f t="shared" si="58"/>
        <v>0.20981347852806126</v>
      </c>
      <c r="N901" s="9">
        <f t="shared" si="59"/>
        <v>6.1330774770847077E-4</v>
      </c>
    </row>
    <row r="902" spans="1:14" x14ac:dyDescent="0.35">
      <c r="A902" s="6">
        <v>45251</v>
      </c>
      <c r="B902" t="s">
        <v>12</v>
      </c>
      <c r="C902" t="s">
        <v>23</v>
      </c>
      <c r="D902" t="s">
        <v>25</v>
      </c>
      <c r="E902" t="s">
        <v>29</v>
      </c>
      <c r="F902" s="4">
        <v>2</v>
      </c>
      <c r="G902" s="4">
        <v>57531.4</v>
      </c>
      <c r="H902" s="4">
        <v>42410.69</v>
      </c>
      <c r="I902" s="8">
        <v>0.15</v>
      </c>
      <c r="J902" s="4">
        <v>15120.71</v>
      </c>
      <c r="K902" s="4" t="str">
        <f t="shared" si="56"/>
        <v>November</v>
      </c>
      <c r="L902">
        <f t="shared" si="57"/>
        <v>11</v>
      </c>
      <c r="M902" s="9">
        <f t="shared" si="58"/>
        <v>0.26282534407297575</v>
      </c>
      <c r="N902" s="9">
        <f t="shared" si="59"/>
        <v>5.3277002967787356E-4</v>
      </c>
    </row>
    <row r="903" spans="1:14" x14ac:dyDescent="0.35">
      <c r="A903" s="6">
        <v>45123</v>
      </c>
      <c r="B903" t="s">
        <v>9</v>
      </c>
      <c r="C903" t="s">
        <v>20</v>
      </c>
      <c r="D903" t="s">
        <v>27</v>
      </c>
      <c r="E903" t="s">
        <v>41</v>
      </c>
      <c r="F903" s="4">
        <v>3</v>
      </c>
      <c r="G903" s="4">
        <v>75054</v>
      </c>
      <c r="H903" s="4">
        <v>57840.66</v>
      </c>
      <c r="I903" s="8">
        <v>0</v>
      </c>
      <c r="J903" s="4">
        <v>17213.34</v>
      </c>
      <c r="K903" s="4" t="str">
        <f t="shared" si="56"/>
        <v>July</v>
      </c>
      <c r="L903">
        <f t="shared" si="57"/>
        <v>7</v>
      </c>
      <c r="M903" s="9">
        <f t="shared" si="58"/>
        <v>0.22934607082900313</v>
      </c>
      <c r="N903" s="9">
        <f t="shared" si="59"/>
        <v>6.9503821925840704E-4</v>
      </c>
    </row>
    <row r="904" spans="1:14" x14ac:dyDescent="0.35">
      <c r="A904" s="6">
        <v>44983</v>
      </c>
      <c r="B904" t="s">
        <v>10</v>
      </c>
      <c r="C904" t="s">
        <v>14</v>
      </c>
      <c r="D904" t="s">
        <v>27</v>
      </c>
      <c r="E904" t="s">
        <v>31</v>
      </c>
      <c r="F904" s="4">
        <v>3</v>
      </c>
      <c r="G904" s="4">
        <v>89704.8</v>
      </c>
      <c r="H904" s="4">
        <v>60890.879999999997</v>
      </c>
      <c r="I904" s="8">
        <v>0.2</v>
      </c>
      <c r="J904" s="4">
        <v>28813.919999999998</v>
      </c>
      <c r="K904" s="4" t="str">
        <f t="shared" si="56"/>
        <v>February</v>
      </c>
      <c r="L904">
        <f t="shared" si="57"/>
        <v>2</v>
      </c>
      <c r="M904" s="9">
        <f t="shared" si="58"/>
        <v>0.32120822965995127</v>
      </c>
      <c r="N904" s="9">
        <f t="shared" si="59"/>
        <v>8.3071207998150075E-4</v>
      </c>
    </row>
    <row r="905" spans="1:14" x14ac:dyDescent="0.35">
      <c r="A905" s="6">
        <v>45214</v>
      </c>
      <c r="B905" t="s">
        <v>9</v>
      </c>
      <c r="C905" t="s">
        <v>20</v>
      </c>
      <c r="D905" t="s">
        <v>27</v>
      </c>
      <c r="E905" t="s">
        <v>41</v>
      </c>
      <c r="F905" s="4">
        <v>3</v>
      </c>
      <c r="G905" s="4">
        <v>86274</v>
      </c>
      <c r="H905" s="4">
        <v>66770.17</v>
      </c>
      <c r="I905" s="8">
        <v>0</v>
      </c>
      <c r="J905" s="4">
        <v>19503.830000000002</v>
      </c>
      <c r="K905" s="4" t="str">
        <f t="shared" si="56"/>
        <v>October</v>
      </c>
      <c r="L905">
        <f t="shared" si="57"/>
        <v>10</v>
      </c>
      <c r="M905" s="9">
        <f t="shared" si="58"/>
        <v>0.2260684563136055</v>
      </c>
      <c r="N905" s="9">
        <f t="shared" si="59"/>
        <v>7.9894112676605919E-4</v>
      </c>
    </row>
    <row r="906" spans="1:14" x14ac:dyDescent="0.35">
      <c r="A906" s="6">
        <v>45137</v>
      </c>
      <c r="B906" t="s">
        <v>11</v>
      </c>
      <c r="C906" t="s">
        <v>16</v>
      </c>
      <c r="D906" t="s">
        <v>25</v>
      </c>
      <c r="E906" t="s">
        <v>37</v>
      </c>
      <c r="F906" s="4">
        <v>4</v>
      </c>
      <c r="G906" s="4">
        <v>127123.2</v>
      </c>
      <c r="H906" s="4">
        <v>88239.039999999994</v>
      </c>
      <c r="I906" s="8">
        <v>0.1</v>
      </c>
      <c r="J906" s="4">
        <v>38884.160000000003</v>
      </c>
      <c r="K906" s="4" t="str">
        <f t="shared" si="56"/>
        <v>July</v>
      </c>
      <c r="L906">
        <f t="shared" si="57"/>
        <v>7</v>
      </c>
      <c r="M906" s="9">
        <f t="shared" si="58"/>
        <v>0.3058777626743191</v>
      </c>
      <c r="N906" s="9">
        <f t="shared" si="59"/>
        <v>1.1772254983669136E-3</v>
      </c>
    </row>
    <row r="907" spans="1:14" x14ac:dyDescent="0.35">
      <c r="A907" s="6">
        <v>45241</v>
      </c>
      <c r="B907" t="s">
        <v>12</v>
      </c>
      <c r="C907" t="s">
        <v>23</v>
      </c>
      <c r="D907" t="s">
        <v>27</v>
      </c>
      <c r="E907" t="s">
        <v>38</v>
      </c>
      <c r="F907" s="4">
        <v>5</v>
      </c>
      <c r="G907" s="4">
        <v>34599</v>
      </c>
      <c r="H907" s="4">
        <v>21285.73</v>
      </c>
      <c r="I907" s="8">
        <v>0.05</v>
      </c>
      <c r="J907" s="4">
        <v>13313.27</v>
      </c>
      <c r="K907" s="4" t="str">
        <f t="shared" si="56"/>
        <v>November</v>
      </c>
      <c r="L907">
        <f t="shared" si="57"/>
        <v>11</v>
      </c>
      <c r="M907" s="9">
        <f t="shared" si="58"/>
        <v>0.3847877106274748</v>
      </c>
      <c r="N907" s="9">
        <f t="shared" si="59"/>
        <v>3.204043401833563E-4</v>
      </c>
    </row>
    <row r="908" spans="1:14" x14ac:dyDescent="0.35">
      <c r="A908" s="6">
        <v>45093</v>
      </c>
      <c r="B908" t="s">
        <v>11</v>
      </c>
      <c r="C908" t="s">
        <v>18</v>
      </c>
      <c r="D908" t="s">
        <v>25</v>
      </c>
      <c r="E908" t="s">
        <v>37</v>
      </c>
      <c r="F908" s="4">
        <v>6</v>
      </c>
      <c r="G908" s="4">
        <v>163841.4</v>
      </c>
      <c r="H908" s="4">
        <v>119069.95</v>
      </c>
      <c r="I908" s="8">
        <v>0.1</v>
      </c>
      <c r="J908" s="4">
        <v>44771.45</v>
      </c>
      <c r="K908" s="4" t="str">
        <f t="shared" si="56"/>
        <v>June</v>
      </c>
      <c r="L908">
        <f t="shared" si="57"/>
        <v>6</v>
      </c>
      <c r="M908" s="9">
        <f t="shared" si="58"/>
        <v>0.27326090963578192</v>
      </c>
      <c r="N908" s="9">
        <f t="shared" si="59"/>
        <v>1.5172547085672231E-3</v>
      </c>
    </row>
    <row r="909" spans="1:14" x14ac:dyDescent="0.35">
      <c r="A909" s="6">
        <v>44964</v>
      </c>
      <c r="B909" t="s">
        <v>12</v>
      </c>
      <c r="C909" t="s">
        <v>23</v>
      </c>
      <c r="D909" t="s">
        <v>28</v>
      </c>
      <c r="E909" t="s">
        <v>44</v>
      </c>
      <c r="F909" s="4">
        <v>6</v>
      </c>
      <c r="G909" s="4">
        <v>11411.4</v>
      </c>
      <c r="H909" s="4">
        <v>7337.65</v>
      </c>
      <c r="I909" s="8">
        <v>0.05</v>
      </c>
      <c r="J909" s="4">
        <v>4073.75</v>
      </c>
      <c r="K909" s="4" t="str">
        <f t="shared" si="56"/>
        <v>February</v>
      </c>
      <c r="L909">
        <f t="shared" si="57"/>
        <v>2</v>
      </c>
      <c r="M909" s="9">
        <f t="shared" si="58"/>
        <v>0.35698950172634386</v>
      </c>
      <c r="N909" s="9">
        <f t="shared" si="59"/>
        <v>1.0567536887101801E-4</v>
      </c>
    </row>
    <row r="910" spans="1:14" x14ac:dyDescent="0.35">
      <c r="A910" s="6">
        <v>45146</v>
      </c>
      <c r="B910" t="s">
        <v>9</v>
      </c>
      <c r="C910" t="s">
        <v>15</v>
      </c>
      <c r="D910" t="s">
        <v>27</v>
      </c>
      <c r="E910" t="s">
        <v>40</v>
      </c>
      <c r="F910" s="4">
        <v>1</v>
      </c>
      <c r="G910" s="4">
        <v>28541.7</v>
      </c>
      <c r="H910" s="4">
        <v>22534.66</v>
      </c>
      <c r="I910" s="8">
        <v>0.1</v>
      </c>
      <c r="J910" s="4">
        <v>6007.04</v>
      </c>
      <c r="K910" s="4" t="str">
        <f t="shared" si="56"/>
        <v>August</v>
      </c>
      <c r="L910">
        <f t="shared" si="57"/>
        <v>8</v>
      </c>
      <c r="M910" s="9">
        <f t="shared" si="58"/>
        <v>0.2104653892375016</v>
      </c>
      <c r="N910" s="9">
        <f t="shared" si="59"/>
        <v>2.6431066089225994E-4</v>
      </c>
    </row>
    <row r="911" spans="1:14" x14ac:dyDescent="0.35">
      <c r="A911" s="6">
        <v>45132</v>
      </c>
      <c r="B911" t="s">
        <v>10</v>
      </c>
      <c r="C911" t="s">
        <v>22</v>
      </c>
      <c r="D911" t="s">
        <v>26</v>
      </c>
      <c r="E911" t="s">
        <v>30</v>
      </c>
      <c r="F911" s="4">
        <v>1</v>
      </c>
      <c r="G911" s="4">
        <v>17311.95</v>
      </c>
      <c r="H911" s="4">
        <v>10216.790000000001</v>
      </c>
      <c r="I911" s="8">
        <v>0.15</v>
      </c>
      <c r="J911" s="4">
        <v>7095.16</v>
      </c>
      <c r="K911" s="4" t="str">
        <f t="shared" si="56"/>
        <v>July</v>
      </c>
      <c r="L911">
        <f t="shared" si="57"/>
        <v>7</v>
      </c>
      <c r="M911" s="9">
        <f t="shared" si="58"/>
        <v>0.40984175670562817</v>
      </c>
      <c r="N911" s="9">
        <f t="shared" si="59"/>
        <v>1.6031746342487515E-4</v>
      </c>
    </row>
    <row r="912" spans="1:14" x14ac:dyDescent="0.35">
      <c r="A912" s="6">
        <v>45143</v>
      </c>
      <c r="B912" t="s">
        <v>10</v>
      </c>
      <c r="C912" t="s">
        <v>22</v>
      </c>
      <c r="D912" t="s">
        <v>25</v>
      </c>
      <c r="E912" t="s">
        <v>37</v>
      </c>
      <c r="F912" s="4">
        <v>4</v>
      </c>
      <c r="G912" s="4">
        <v>46512</v>
      </c>
      <c r="H912" s="4">
        <v>35136.94</v>
      </c>
      <c r="I912" s="8">
        <v>0.15</v>
      </c>
      <c r="J912" s="4">
        <v>11375.06</v>
      </c>
      <c r="K912" s="4" t="str">
        <f t="shared" si="56"/>
        <v>August</v>
      </c>
      <c r="L912">
        <f t="shared" si="57"/>
        <v>8</v>
      </c>
      <c r="M912" s="9">
        <f t="shared" si="58"/>
        <v>0.24456183350533195</v>
      </c>
      <c r="N912" s="9">
        <f t="shared" si="59"/>
        <v>4.3072478021353994E-4</v>
      </c>
    </row>
    <row r="913" spans="1:14" x14ac:dyDescent="0.35">
      <c r="A913" s="6">
        <v>45224</v>
      </c>
      <c r="B913" t="s">
        <v>12</v>
      </c>
      <c r="C913" t="s">
        <v>21</v>
      </c>
      <c r="D913" t="s">
        <v>27</v>
      </c>
      <c r="E913" t="s">
        <v>40</v>
      </c>
      <c r="F913" s="4">
        <v>4</v>
      </c>
      <c r="G913" s="4">
        <v>49449.599999999999</v>
      </c>
      <c r="H913" s="4">
        <v>35988.93</v>
      </c>
      <c r="I913" s="8">
        <v>0.2</v>
      </c>
      <c r="J913" s="4">
        <v>13460.67</v>
      </c>
      <c r="K913" s="4" t="str">
        <f t="shared" si="56"/>
        <v>October</v>
      </c>
      <c r="L913">
        <f t="shared" si="57"/>
        <v>10</v>
      </c>
      <c r="M913" s="9">
        <f t="shared" si="58"/>
        <v>0.27220988642981947</v>
      </c>
      <c r="N913" s="9">
        <f t="shared" si="59"/>
        <v>4.5792845054281619E-4</v>
      </c>
    </row>
    <row r="914" spans="1:14" x14ac:dyDescent="0.35">
      <c r="A914" s="6">
        <v>45122</v>
      </c>
      <c r="B914" t="s">
        <v>10</v>
      </c>
      <c r="C914" t="s">
        <v>22</v>
      </c>
      <c r="D914" t="s">
        <v>28</v>
      </c>
      <c r="E914" t="s">
        <v>36</v>
      </c>
      <c r="F914" s="4">
        <v>2</v>
      </c>
      <c r="G914" s="4">
        <v>39933</v>
      </c>
      <c r="H914" s="4">
        <v>31780.09</v>
      </c>
      <c r="I914" s="8">
        <v>0.15</v>
      </c>
      <c r="J914" s="4">
        <v>8152.91</v>
      </c>
      <c r="K914" s="4" t="str">
        <f t="shared" si="56"/>
        <v>July</v>
      </c>
      <c r="L914">
        <f t="shared" si="57"/>
        <v>7</v>
      </c>
      <c r="M914" s="9">
        <f t="shared" si="58"/>
        <v>0.20416472591590915</v>
      </c>
      <c r="N914" s="9">
        <f t="shared" si="59"/>
        <v>3.6979989353859845E-4</v>
      </c>
    </row>
    <row r="915" spans="1:14" x14ac:dyDescent="0.35">
      <c r="A915" s="6">
        <v>45045</v>
      </c>
      <c r="B915" t="s">
        <v>9</v>
      </c>
      <c r="C915" t="s">
        <v>20</v>
      </c>
      <c r="D915" t="s">
        <v>27</v>
      </c>
      <c r="E915" t="s">
        <v>40</v>
      </c>
      <c r="F915" s="4">
        <v>3</v>
      </c>
      <c r="G915" s="4">
        <v>109854.9</v>
      </c>
      <c r="H915" s="4">
        <v>62852.89</v>
      </c>
      <c r="I915" s="8">
        <v>0.1</v>
      </c>
      <c r="J915" s="4">
        <v>47002.01</v>
      </c>
      <c r="K915" s="4" t="str">
        <f t="shared" si="56"/>
        <v>April</v>
      </c>
      <c r="L915">
        <f t="shared" si="57"/>
        <v>4</v>
      </c>
      <c r="M915" s="9">
        <f t="shared" si="58"/>
        <v>0.42785538014235147</v>
      </c>
      <c r="N915" s="9">
        <f t="shared" si="59"/>
        <v>1.0173122561463795E-3</v>
      </c>
    </row>
    <row r="916" spans="1:14" x14ac:dyDescent="0.35">
      <c r="A916" s="6">
        <v>44970</v>
      </c>
      <c r="B916" t="s">
        <v>10</v>
      </c>
      <c r="C916" t="s">
        <v>19</v>
      </c>
      <c r="D916" t="s">
        <v>28</v>
      </c>
      <c r="E916" t="s">
        <v>36</v>
      </c>
      <c r="F916" s="4">
        <v>5</v>
      </c>
      <c r="G916" s="4">
        <v>58954.5</v>
      </c>
      <c r="H916" s="4">
        <v>35534.379999999997</v>
      </c>
      <c r="I916" s="8">
        <v>0.1</v>
      </c>
      <c r="J916" s="4">
        <v>23420.12</v>
      </c>
      <c r="K916" s="4" t="str">
        <f t="shared" si="56"/>
        <v>February</v>
      </c>
      <c r="L916">
        <f t="shared" si="57"/>
        <v>2</v>
      </c>
      <c r="M916" s="9">
        <f t="shared" si="58"/>
        <v>0.39725754607366698</v>
      </c>
      <c r="N916" s="9">
        <f t="shared" si="59"/>
        <v>5.4594865959535477E-4</v>
      </c>
    </row>
    <row r="917" spans="1:14" x14ac:dyDescent="0.35">
      <c r="A917" s="6">
        <v>45268</v>
      </c>
      <c r="B917" t="s">
        <v>9</v>
      </c>
      <c r="C917" t="s">
        <v>20</v>
      </c>
      <c r="D917" t="s">
        <v>28</v>
      </c>
      <c r="E917" t="s">
        <v>36</v>
      </c>
      <c r="F917" s="4">
        <v>5</v>
      </c>
      <c r="G917" s="4">
        <v>39046.5</v>
      </c>
      <c r="H917" s="4">
        <v>30630.28</v>
      </c>
      <c r="I917" s="8">
        <v>0.1</v>
      </c>
      <c r="J917" s="4">
        <v>8416.2199999999993</v>
      </c>
      <c r="K917" s="4" t="str">
        <f t="shared" si="56"/>
        <v>December</v>
      </c>
      <c r="L917">
        <f t="shared" si="57"/>
        <v>12</v>
      </c>
      <c r="M917" s="9">
        <f t="shared" si="58"/>
        <v>0.21554351862522889</v>
      </c>
      <c r="N917" s="9">
        <f t="shared" si="59"/>
        <v>3.6159045258445105E-4</v>
      </c>
    </row>
    <row r="918" spans="1:14" x14ac:dyDescent="0.35">
      <c r="A918" s="6">
        <v>44930</v>
      </c>
      <c r="B918" t="s">
        <v>10</v>
      </c>
      <c r="C918" t="s">
        <v>22</v>
      </c>
      <c r="D918" t="s">
        <v>25</v>
      </c>
      <c r="E918" t="s">
        <v>33</v>
      </c>
      <c r="F918" s="4">
        <v>4</v>
      </c>
      <c r="G918" s="4">
        <v>150713.60000000001</v>
      </c>
      <c r="H918" s="4">
        <v>103419.71</v>
      </c>
      <c r="I918" s="8">
        <v>0.2</v>
      </c>
      <c r="J918" s="4">
        <v>47293.89</v>
      </c>
      <c r="K918" s="4" t="str">
        <f t="shared" si="56"/>
        <v>January</v>
      </c>
      <c r="L918">
        <f t="shared" si="57"/>
        <v>1</v>
      </c>
      <c r="M918" s="9">
        <f t="shared" si="58"/>
        <v>0.31379974998938381</v>
      </c>
      <c r="N918" s="9">
        <f t="shared" si="59"/>
        <v>1.3956846025797941E-3</v>
      </c>
    </row>
    <row r="919" spans="1:14" x14ac:dyDescent="0.35">
      <c r="A919" s="6">
        <v>45145</v>
      </c>
      <c r="B919" t="s">
        <v>10</v>
      </c>
      <c r="C919" t="s">
        <v>22</v>
      </c>
      <c r="D919" t="s">
        <v>26</v>
      </c>
      <c r="E919" t="s">
        <v>43</v>
      </c>
      <c r="F919" s="4">
        <v>4</v>
      </c>
      <c r="G919" s="4">
        <v>177382.8</v>
      </c>
      <c r="H919" s="4">
        <v>115793.02</v>
      </c>
      <c r="I919" s="8">
        <v>0.1</v>
      </c>
      <c r="J919" s="4">
        <v>61589.78</v>
      </c>
      <c r="K919" s="4" t="str">
        <f t="shared" si="56"/>
        <v>August</v>
      </c>
      <c r="L919">
        <f t="shared" si="57"/>
        <v>8</v>
      </c>
      <c r="M919" s="9">
        <f t="shared" si="58"/>
        <v>0.34721393506022008</v>
      </c>
      <c r="N919" s="9">
        <f t="shared" si="59"/>
        <v>1.6426549609490522E-3</v>
      </c>
    </row>
    <row r="920" spans="1:14" x14ac:dyDescent="0.35">
      <c r="A920" s="6">
        <v>45250</v>
      </c>
      <c r="B920" t="s">
        <v>12</v>
      </c>
      <c r="C920" t="s">
        <v>21</v>
      </c>
      <c r="D920" t="s">
        <v>27</v>
      </c>
      <c r="E920" t="s">
        <v>31</v>
      </c>
      <c r="F920" s="4">
        <v>6</v>
      </c>
      <c r="G920" s="4">
        <v>22069.8</v>
      </c>
      <c r="H920" s="4">
        <v>14446.59</v>
      </c>
      <c r="I920" s="8">
        <v>0.1</v>
      </c>
      <c r="J920" s="4">
        <v>7623.21</v>
      </c>
      <c r="K920" s="4" t="str">
        <f t="shared" si="56"/>
        <v>November</v>
      </c>
      <c r="L920">
        <f t="shared" si="57"/>
        <v>11</v>
      </c>
      <c r="M920" s="9">
        <f t="shared" si="58"/>
        <v>0.34541364217165538</v>
      </c>
      <c r="N920" s="9">
        <f t="shared" si="59"/>
        <v>2.0437757469807328E-4</v>
      </c>
    </row>
    <row r="921" spans="1:14" x14ac:dyDescent="0.35">
      <c r="A921" s="6">
        <v>45250</v>
      </c>
      <c r="B921" t="s">
        <v>12</v>
      </c>
      <c r="C921" t="s">
        <v>23</v>
      </c>
      <c r="D921" t="s">
        <v>26</v>
      </c>
      <c r="E921" t="s">
        <v>30</v>
      </c>
      <c r="F921" s="4">
        <v>6</v>
      </c>
      <c r="G921" s="4">
        <v>79753.8</v>
      </c>
      <c r="H921" s="4">
        <v>52482.61</v>
      </c>
      <c r="I921" s="8">
        <v>0.15</v>
      </c>
      <c r="J921" s="4">
        <v>27271.19</v>
      </c>
      <c r="K921" s="4" t="str">
        <f t="shared" si="56"/>
        <v>November</v>
      </c>
      <c r="L921">
        <f t="shared" si="57"/>
        <v>11</v>
      </c>
      <c r="M921" s="9">
        <f t="shared" si="58"/>
        <v>0.34194220212704596</v>
      </c>
      <c r="N921" s="9">
        <f t="shared" si="59"/>
        <v>7.3856075800212047E-4</v>
      </c>
    </row>
    <row r="922" spans="1:14" x14ac:dyDescent="0.35">
      <c r="A922" s="6">
        <v>45281</v>
      </c>
      <c r="B922" t="s">
        <v>10</v>
      </c>
      <c r="C922" t="s">
        <v>19</v>
      </c>
      <c r="D922" t="s">
        <v>27</v>
      </c>
      <c r="E922" t="s">
        <v>40</v>
      </c>
      <c r="F922" s="4">
        <v>6</v>
      </c>
      <c r="G922" s="4">
        <v>199777.2</v>
      </c>
      <c r="H922" s="4">
        <v>125501.75</v>
      </c>
      <c r="I922" s="8">
        <v>0.15</v>
      </c>
      <c r="J922" s="4">
        <v>74275.45</v>
      </c>
      <c r="K922" s="4" t="str">
        <f t="shared" si="56"/>
        <v>December</v>
      </c>
      <c r="L922">
        <f t="shared" si="57"/>
        <v>12</v>
      </c>
      <c r="M922" s="9">
        <f t="shared" si="58"/>
        <v>0.37179142564817202</v>
      </c>
      <c r="N922" s="9">
        <f t="shared" si="59"/>
        <v>1.850038496768069E-3</v>
      </c>
    </row>
    <row r="923" spans="1:14" x14ac:dyDescent="0.35">
      <c r="A923" s="6">
        <v>45097</v>
      </c>
      <c r="B923" t="s">
        <v>12</v>
      </c>
      <c r="C923" t="s">
        <v>23</v>
      </c>
      <c r="D923" t="s">
        <v>28</v>
      </c>
      <c r="E923" t="s">
        <v>39</v>
      </c>
      <c r="F923" s="4">
        <v>5</v>
      </c>
      <c r="G923" s="4">
        <v>61593.25</v>
      </c>
      <c r="H923" s="4">
        <v>38948.17</v>
      </c>
      <c r="I923" s="8">
        <v>0.05</v>
      </c>
      <c r="J923" s="4">
        <v>22645.08</v>
      </c>
      <c r="K923" s="4" t="str">
        <f t="shared" si="56"/>
        <v>June</v>
      </c>
      <c r="L923">
        <f t="shared" si="57"/>
        <v>6</v>
      </c>
      <c r="M923" s="9">
        <f t="shared" si="58"/>
        <v>0.36765522196019856</v>
      </c>
      <c r="N923" s="9">
        <f t="shared" si="59"/>
        <v>5.7038482690246865E-4</v>
      </c>
    </row>
    <row r="924" spans="1:14" x14ac:dyDescent="0.35">
      <c r="A924" s="6">
        <v>45142</v>
      </c>
      <c r="B924" t="s">
        <v>9</v>
      </c>
      <c r="C924" t="s">
        <v>20</v>
      </c>
      <c r="D924" t="s">
        <v>28</v>
      </c>
      <c r="E924" t="s">
        <v>42</v>
      </c>
      <c r="F924" s="4">
        <v>3</v>
      </c>
      <c r="G924" s="4">
        <v>22740.9</v>
      </c>
      <c r="H924" s="4">
        <v>15044.96</v>
      </c>
      <c r="I924" s="8">
        <v>0.15</v>
      </c>
      <c r="J924" s="4">
        <v>7695.94</v>
      </c>
      <c r="K924" s="4" t="str">
        <f t="shared" si="56"/>
        <v>August</v>
      </c>
      <c r="L924">
        <f t="shared" si="57"/>
        <v>8</v>
      </c>
      <c r="M924" s="9">
        <f t="shared" si="58"/>
        <v>0.33841844430079721</v>
      </c>
      <c r="N924" s="9">
        <f t="shared" si="59"/>
        <v>2.1059230208028232E-4</v>
      </c>
    </row>
    <row r="925" spans="1:14" x14ac:dyDescent="0.35">
      <c r="A925" s="6">
        <v>45046</v>
      </c>
      <c r="B925" t="s">
        <v>12</v>
      </c>
      <c r="C925" t="s">
        <v>21</v>
      </c>
      <c r="D925" t="s">
        <v>25</v>
      </c>
      <c r="E925" t="s">
        <v>33</v>
      </c>
      <c r="F925" s="4">
        <v>1</v>
      </c>
      <c r="G925" s="4">
        <v>35360</v>
      </c>
      <c r="H925" s="4">
        <v>24837.59</v>
      </c>
      <c r="I925" s="8">
        <v>0.2</v>
      </c>
      <c r="J925" s="4">
        <v>10522.41</v>
      </c>
      <c r="K925" s="4" t="str">
        <f t="shared" si="56"/>
        <v>April</v>
      </c>
      <c r="L925">
        <f t="shared" si="57"/>
        <v>4</v>
      </c>
      <c r="M925" s="9">
        <f t="shared" si="58"/>
        <v>0.29757946832579185</v>
      </c>
      <c r="N925" s="9">
        <f t="shared" si="59"/>
        <v>3.2745158729684324E-4</v>
      </c>
    </row>
    <row r="926" spans="1:14" x14ac:dyDescent="0.35">
      <c r="A926" s="6">
        <v>44931</v>
      </c>
      <c r="B926" t="s">
        <v>10</v>
      </c>
      <c r="C926" t="s">
        <v>14</v>
      </c>
      <c r="D926" t="s">
        <v>27</v>
      </c>
      <c r="E926" t="s">
        <v>31</v>
      </c>
      <c r="F926" s="4">
        <v>6</v>
      </c>
      <c r="G926" s="4">
        <v>18753.599999999999</v>
      </c>
      <c r="H926" s="4">
        <v>10324.219999999999</v>
      </c>
      <c r="I926" s="8">
        <v>0.2</v>
      </c>
      <c r="J926" s="4">
        <v>8429.3799999999992</v>
      </c>
      <c r="K926" s="4" t="str">
        <f t="shared" si="56"/>
        <v>January</v>
      </c>
      <c r="L926">
        <f t="shared" si="57"/>
        <v>1</v>
      </c>
      <c r="M926" s="9">
        <f t="shared" si="58"/>
        <v>0.44948063305178737</v>
      </c>
      <c r="N926" s="9">
        <f t="shared" si="59"/>
        <v>1.736678757785656E-4</v>
      </c>
    </row>
    <row r="927" spans="1:14" x14ac:dyDescent="0.35">
      <c r="A927" s="6">
        <v>44993</v>
      </c>
      <c r="B927" t="s">
        <v>10</v>
      </c>
      <c r="C927" t="s">
        <v>22</v>
      </c>
      <c r="D927" t="s">
        <v>28</v>
      </c>
      <c r="E927" t="s">
        <v>42</v>
      </c>
      <c r="F927" s="4">
        <v>5</v>
      </c>
      <c r="G927" s="4">
        <v>128273.75</v>
      </c>
      <c r="H927" s="4">
        <v>93462.17</v>
      </c>
      <c r="I927" s="8">
        <v>0.05</v>
      </c>
      <c r="J927" s="4">
        <v>34811.58</v>
      </c>
      <c r="K927" s="4" t="str">
        <f t="shared" si="56"/>
        <v>March</v>
      </c>
      <c r="L927">
        <f t="shared" si="57"/>
        <v>3</v>
      </c>
      <c r="M927" s="9">
        <f t="shared" si="58"/>
        <v>0.27138506514388178</v>
      </c>
      <c r="N927" s="9">
        <f t="shared" si="59"/>
        <v>1.1878801766407932E-3</v>
      </c>
    </row>
    <row r="928" spans="1:14" x14ac:dyDescent="0.35">
      <c r="A928" s="6">
        <v>44946</v>
      </c>
      <c r="B928" t="s">
        <v>11</v>
      </c>
      <c r="C928" t="s">
        <v>17</v>
      </c>
      <c r="D928" t="s">
        <v>25</v>
      </c>
      <c r="E928" t="s">
        <v>33</v>
      </c>
      <c r="F928" s="4">
        <v>7</v>
      </c>
      <c r="G928" s="4">
        <v>269171</v>
      </c>
      <c r="H928" s="4">
        <v>156429.63</v>
      </c>
      <c r="I928" s="8">
        <v>0</v>
      </c>
      <c r="J928" s="4">
        <v>112741.37</v>
      </c>
      <c r="K928" s="4" t="str">
        <f t="shared" si="56"/>
        <v>January</v>
      </c>
      <c r="L928">
        <f t="shared" si="57"/>
        <v>1</v>
      </c>
      <c r="M928" s="9">
        <f t="shared" si="58"/>
        <v>0.41884664395495796</v>
      </c>
      <c r="N928" s="9">
        <f t="shared" si="59"/>
        <v>2.4926603847363854E-3</v>
      </c>
    </row>
    <row r="929" spans="1:14" x14ac:dyDescent="0.35">
      <c r="A929" s="6">
        <v>45252</v>
      </c>
      <c r="B929" t="s">
        <v>12</v>
      </c>
      <c r="C929" t="s">
        <v>24</v>
      </c>
      <c r="D929" t="s">
        <v>28</v>
      </c>
      <c r="E929" t="s">
        <v>44</v>
      </c>
      <c r="F929" s="4">
        <v>1</v>
      </c>
      <c r="G929" s="4">
        <v>39807</v>
      </c>
      <c r="H929" s="4">
        <v>26422.65</v>
      </c>
      <c r="I929" s="8">
        <v>0</v>
      </c>
      <c r="J929" s="4">
        <v>13384.35</v>
      </c>
      <c r="K929" s="4" t="str">
        <f t="shared" si="56"/>
        <v>November</v>
      </c>
      <c r="L929">
        <f t="shared" si="57"/>
        <v>11</v>
      </c>
      <c r="M929" s="9">
        <f t="shared" si="58"/>
        <v>0.33623106488808502</v>
      </c>
      <c r="N929" s="9">
        <f t="shared" si="59"/>
        <v>3.6863306944359274E-4</v>
      </c>
    </row>
    <row r="930" spans="1:14" x14ac:dyDescent="0.35">
      <c r="A930" s="6">
        <v>45178</v>
      </c>
      <c r="B930" t="s">
        <v>12</v>
      </c>
      <c r="C930" t="s">
        <v>21</v>
      </c>
      <c r="D930" t="s">
        <v>25</v>
      </c>
      <c r="E930" t="s">
        <v>32</v>
      </c>
      <c r="F930" s="4">
        <v>6</v>
      </c>
      <c r="G930" s="4">
        <v>99822.3</v>
      </c>
      <c r="H930" s="4">
        <v>57746.35</v>
      </c>
      <c r="I930" s="8">
        <v>0.15</v>
      </c>
      <c r="J930" s="4">
        <v>42075.95</v>
      </c>
      <c r="K930" s="4" t="str">
        <f t="shared" si="56"/>
        <v>September</v>
      </c>
      <c r="L930">
        <f t="shared" si="57"/>
        <v>9</v>
      </c>
      <c r="M930" s="9">
        <f t="shared" si="58"/>
        <v>0.42150852064117933</v>
      </c>
      <c r="N930" s="9">
        <f t="shared" si="59"/>
        <v>9.2440527665785287E-4</v>
      </c>
    </row>
    <row r="931" spans="1:14" x14ac:dyDescent="0.35">
      <c r="A931" s="6">
        <v>45200</v>
      </c>
      <c r="B931" t="s">
        <v>12</v>
      </c>
      <c r="C931" t="s">
        <v>23</v>
      </c>
      <c r="D931" t="s">
        <v>26</v>
      </c>
      <c r="E931" t="s">
        <v>43</v>
      </c>
      <c r="F931" s="4">
        <v>1</v>
      </c>
      <c r="G931" s="4">
        <v>36742.199999999997</v>
      </c>
      <c r="H931" s="4">
        <v>25064.68</v>
      </c>
      <c r="I931" s="8">
        <v>0.05</v>
      </c>
      <c r="J931" s="4">
        <v>11677.52</v>
      </c>
      <c r="K931" s="4" t="str">
        <f t="shared" si="56"/>
        <v>October</v>
      </c>
      <c r="L931">
        <f t="shared" si="57"/>
        <v>10</v>
      </c>
      <c r="M931" s="9">
        <f t="shared" si="58"/>
        <v>0.31782310259048185</v>
      </c>
      <c r="N931" s="9">
        <f t="shared" si="59"/>
        <v>3.4025146240888215E-4</v>
      </c>
    </row>
    <row r="932" spans="1:14" x14ac:dyDescent="0.35">
      <c r="A932" s="6">
        <v>45049</v>
      </c>
      <c r="B932" t="s">
        <v>10</v>
      </c>
      <c r="C932" t="s">
        <v>19</v>
      </c>
      <c r="D932" t="s">
        <v>27</v>
      </c>
      <c r="E932" t="s">
        <v>38</v>
      </c>
      <c r="F932" s="4">
        <v>6</v>
      </c>
      <c r="G932" s="4">
        <v>258130.2</v>
      </c>
      <c r="H932" s="4">
        <v>159080.04</v>
      </c>
      <c r="I932" s="8">
        <v>0.05</v>
      </c>
      <c r="J932" s="4">
        <v>99050.16</v>
      </c>
      <c r="K932" s="4" t="str">
        <f t="shared" si="56"/>
        <v>May</v>
      </c>
      <c r="L932">
        <f t="shared" si="57"/>
        <v>5</v>
      </c>
      <c r="M932" s="9">
        <f t="shared" si="58"/>
        <v>0.38372170323348448</v>
      </c>
      <c r="N932" s="9">
        <f t="shared" si="59"/>
        <v>2.3904169603860752E-3</v>
      </c>
    </row>
    <row r="933" spans="1:14" x14ac:dyDescent="0.35">
      <c r="A933" s="6">
        <v>45276</v>
      </c>
      <c r="B933" t="s">
        <v>11</v>
      </c>
      <c r="C933" t="s">
        <v>18</v>
      </c>
      <c r="D933" t="s">
        <v>25</v>
      </c>
      <c r="E933" t="s">
        <v>33</v>
      </c>
      <c r="F933" s="4">
        <v>6</v>
      </c>
      <c r="G933" s="4">
        <v>190551</v>
      </c>
      <c r="H933" s="4">
        <v>146587.43</v>
      </c>
      <c r="I933" s="8">
        <v>0.05</v>
      </c>
      <c r="J933" s="4">
        <v>43963.57</v>
      </c>
      <c r="K933" s="4" t="str">
        <f t="shared" si="56"/>
        <v>December</v>
      </c>
      <c r="L933">
        <f t="shared" si="57"/>
        <v>12</v>
      </c>
      <c r="M933" s="9">
        <f t="shared" si="58"/>
        <v>0.23071812795524557</v>
      </c>
      <c r="N933" s="9">
        <f t="shared" si="59"/>
        <v>1.7645991914875786E-3</v>
      </c>
    </row>
    <row r="934" spans="1:14" x14ac:dyDescent="0.35">
      <c r="A934" s="6">
        <v>45227</v>
      </c>
      <c r="B934" t="s">
        <v>12</v>
      </c>
      <c r="C934" t="s">
        <v>23</v>
      </c>
      <c r="D934" t="s">
        <v>26</v>
      </c>
      <c r="E934" t="s">
        <v>35</v>
      </c>
      <c r="F934" s="4">
        <v>5</v>
      </c>
      <c r="G934" s="4">
        <v>86402.5</v>
      </c>
      <c r="H934" s="4">
        <v>66270.710000000006</v>
      </c>
      <c r="I934" s="8">
        <v>0.15</v>
      </c>
      <c r="J934" s="4">
        <v>20131.79</v>
      </c>
      <c r="K934" s="4" t="str">
        <f t="shared" si="56"/>
        <v>October</v>
      </c>
      <c r="L934">
        <f t="shared" si="57"/>
        <v>10</v>
      </c>
      <c r="M934" s="9">
        <f t="shared" si="58"/>
        <v>0.2330000868030439</v>
      </c>
      <c r="N934" s="9">
        <f t="shared" si="59"/>
        <v>8.0013110213279131E-4</v>
      </c>
    </row>
    <row r="935" spans="1:14" x14ac:dyDescent="0.35">
      <c r="A935" s="6">
        <v>44973</v>
      </c>
      <c r="B935" t="s">
        <v>11</v>
      </c>
      <c r="C935" t="s">
        <v>16</v>
      </c>
      <c r="D935" t="s">
        <v>25</v>
      </c>
      <c r="E935" t="s">
        <v>32</v>
      </c>
      <c r="F935" s="4">
        <v>2</v>
      </c>
      <c r="G935" s="4">
        <v>64961</v>
      </c>
      <c r="H935" s="4">
        <v>39910.080000000002</v>
      </c>
      <c r="I935" s="8">
        <v>0.05</v>
      </c>
      <c r="J935" s="4">
        <v>25050.92</v>
      </c>
      <c r="K935" s="4" t="str">
        <f t="shared" si="56"/>
        <v>February</v>
      </c>
      <c r="L935">
        <f t="shared" si="57"/>
        <v>2</v>
      </c>
      <c r="M935" s="9">
        <f t="shared" si="58"/>
        <v>0.38563014731916068</v>
      </c>
      <c r="N935" s="9">
        <f t="shared" si="59"/>
        <v>6.0157190504497274E-4</v>
      </c>
    </row>
    <row r="936" spans="1:14" x14ac:dyDescent="0.35">
      <c r="A936" s="6">
        <v>45150</v>
      </c>
      <c r="B936" t="s">
        <v>12</v>
      </c>
      <c r="C936" t="s">
        <v>21</v>
      </c>
      <c r="D936" t="s">
        <v>28</v>
      </c>
      <c r="E936" t="s">
        <v>39</v>
      </c>
      <c r="F936" s="4">
        <v>7</v>
      </c>
      <c r="G936" s="4">
        <v>173318.95</v>
      </c>
      <c r="H936" s="4">
        <v>137333.21</v>
      </c>
      <c r="I936" s="8">
        <v>0.05</v>
      </c>
      <c r="J936" s="4">
        <v>35985.74</v>
      </c>
      <c r="K936" s="4" t="str">
        <f t="shared" si="56"/>
        <v>August</v>
      </c>
      <c r="L936">
        <f t="shared" si="57"/>
        <v>8</v>
      </c>
      <c r="M936" s="9">
        <f t="shared" si="58"/>
        <v>0.20762726753191152</v>
      </c>
      <c r="N936" s="9">
        <f t="shared" si="59"/>
        <v>1.6050216427070762E-3</v>
      </c>
    </row>
    <row r="937" spans="1:14" x14ac:dyDescent="0.35">
      <c r="A937" s="6">
        <v>44965</v>
      </c>
      <c r="B937" t="s">
        <v>10</v>
      </c>
      <c r="C937" t="s">
        <v>22</v>
      </c>
      <c r="D937" t="s">
        <v>25</v>
      </c>
      <c r="E937" t="s">
        <v>33</v>
      </c>
      <c r="F937" s="4">
        <v>5</v>
      </c>
      <c r="G937" s="4">
        <v>117412</v>
      </c>
      <c r="H937" s="4">
        <v>69584.25</v>
      </c>
      <c r="I937" s="8">
        <v>0.2</v>
      </c>
      <c r="J937" s="4">
        <v>47827.75</v>
      </c>
      <c r="K937" s="4" t="str">
        <f t="shared" si="56"/>
        <v>February</v>
      </c>
      <c r="L937">
        <f t="shared" si="57"/>
        <v>2</v>
      </c>
      <c r="M937" s="9">
        <f t="shared" si="58"/>
        <v>0.40734975982012062</v>
      </c>
      <c r="N937" s="9">
        <f t="shared" si="59"/>
        <v>1.0872948463715203E-3</v>
      </c>
    </row>
    <row r="938" spans="1:14" x14ac:dyDescent="0.35">
      <c r="A938" s="6">
        <v>45129</v>
      </c>
      <c r="B938" t="s">
        <v>11</v>
      </c>
      <c r="C938" t="s">
        <v>18</v>
      </c>
      <c r="D938" t="s">
        <v>25</v>
      </c>
      <c r="E938" t="s">
        <v>37</v>
      </c>
      <c r="F938" s="4">
        <v>5</v>
      </c>
      <c r="G938" s="4">
        <v>160591.5</v>
      </c>
      <c r="H938" s="4">
        <v>89314.75</v>
      </c>
      <c r="I938" s="8">
        <v>0.1</v>
      </c>
      <c r="J938" s="4">
        <v>71276.75</v>
      </c>
      <c r="K938" s="4" t="str">
        <f t="shared" si="56"/>
        <v>July</v>
      </c>
      <c r="L938">
        <f t="shared" si="57"/>
        <v>7</v>
      </c>
      <c r="M938" s="9">
        <f t="shared" si="58"/>
        <v>0.44383887067497346</v>
      </c>
      <c r="N938" s="9">
        <f t="shared" si="59"/>
        <v>1.4871589813738972E-3</v>
      </c>
    </row>
    <row r="939" spans="1:14" x14ac:dyDescent="0.35">
      <c r="A939" s="6">
        <v>45037</v>
      </c>
      <c r="B939" t="s">
        <v>9</v>
      </c>
      <c r="C939" t="s">
        <v>13</v>
      </c>
      <c r="D939" t="s">
        <v>27</v>
      </c>
      <c r="E939" t="s">
        <v>40</v>
      </c>
      <c r="F939" s="4">
        <v>7</v>
      </c>
      <c r="G939" s="4">
        <v>119759.85</v>
      </c>
      <c r="H939" s="4">
        <v>67822.3</v>
      </c>
      <c r="I939" s="8">
        <v>0.05</v>
      </c>
      <c r="J939" s="4">
        <v>51937.55</v>
      </c>
      <c r="K939" s="4" t="str">
        <f t="shared" si="56"/>
        <v>April</v>
      </c>
      <c r="L939">
        <f t="shared" si="57"/>
        <v>4</v>
      </c>
      <c r="M939" s="9">
        <f t="shared" si="58"/>
        <v>0.43368082040850919</v>
      </c>
      <c r="N939" s="9">
        <f t="shared" si="59"/>
        <v>1.1090371317005615E-3</v>
      </c>
    </row>
    <row r="940" spans="1:14" x14ac:dyDescent="0.35">
      <c r="A940" s="6">
        <v>45207</v>
      </c>
      <c r="B940" t="s">
        <v>10</v>
      </c>
      <c r="C940" t="s">
        <v>22</v>
      </c>
      <c r="D940" t="s">
        <v>27</v>
      </c>
      <c r="E940" t="s">
        <v>40</v>
      </c>
      <c r="F940" s="4">
        <v>3</v>
      </c>
      <c r="G940" s="4">
        <v>72516.899999999994</v>
      </c>
      <c r="H940" s="4">
        <v>57695.94</v>
      </c>
      <c r="I940" s="8">
        <v>0.15</v>
      </c>
      <c r="J940" s="4">
        <v>14820.96</v>
      </c>
      <c r="K940" s="4" t="str">
        <f t="shared" si="56"/>
        <v>October</v>
      </c>
      <c r="L940">
        <f t="shared" si="57"/>
        <v>10</v>
      </c>
      <c r="M940" s="9">
        <f t="shared" si="58"/>
        <v>0.20437939294150742</v>
      </c>
      <c r="N940" s="9">
        <f t="shared" si="59"/>
        <v>6.7154338265968468E-4</v>
      </c>
    </row>
    <row r="941" spans="1:14" x14ac:dyDescent="0.35">
      <c r="A941" s="6">
        <v>44995</v>
      </c>
      <c r="B941" t="s">
        <v>9</v>
      </c>
      <c r="C941" t="s">
        <v>20</v>
      </c>
      <c r="D941" t="s">
        <v>26</v>
      </c>
      <c r="E941" t="s">
        <v>35</v>
      </c>
      <c r="F941" s="4">
        <v>7</v>
      </c>
      <c r="G941" s="4">
        <v>119420.7</v>
      </c>
      <c r="H941" s="4">
        <v>90353.41</v>
      </c>
      <c r="I941" s="8">
        <v>0.05</v>
      </c>
      <c r="J941" s="4">
        <v>29067.29</v>
      </c>
      <c r="K941" s="4" t="str">
        <f t="shared" si="56"/>
        <v>March</v>
      </c>
      <c r="L941">
        <f t="shared" si="57"/>
        <v>3</v>
      </c>
      <c r="M941" s="9">
        <f t="shared" si="58"/>
        <v>0.24340244195520544</v>
      </c>
      <c r="N941" s="9">
        <f t="shared" si="59"/>
        <v>1.105896430178171E-3</v>
      </c>
    </row>
    <row r="942" spans="1:14" x14ac:dyDescent="0.35">
      <c r="A942" s="6">
        <v>45090</v>
      </c>
      <c r="B942" t="s">
        <v>12</v>
      </c>
      <c r="C942" t="s">
        <v>24</v>
      </c>
      <c r="D942" t="s">
        <v>28</v>
      </c>
      <c r="E942" t="s">
        <v>44</v>
      </c>
      <c r="F942" s="4">
        <v>6</v>
      </c>
      <c r="G942" s="4">
        <v>279539.40000000002</v>
      </c>
      <c r="H942" s="4">
        <v>172976.89</v>
      </c>
      <c r="I942" s="8">
        <v>0.05</v>
      </c>
      <c r="J942" s="4">
        <v>106562.51</v>
      </c>
      <c r="K942" s="4" t="str">
        <f t="shared" si="56"/>
        <v>June</v>
      </c>
      <c r="L942">
        <f t="shared" si="57"/>
        <v>6</v>
      </c>
      <c r="M942" s="9">
        <f t="shared" si="58"/>
        <v>0.38120747916036163</v>
      </c>
      <c r="N942" s="9">
        <f t="shared" si="59"/>
        <v>2.5886770430431898E-3</v>
      </c>
    </row>
    <row r="943" spans="1:14" x14ac:dyDescent="0.35">
      <c r="A943" s="6">
        <v>45115</v>
      </c>
      <c r="B943" t="s">
        <v>10</v>
      </c>
      <c r="C943" t="s">
        <v>14</v>
      </c>
      <c r="D943" t="s">
        <v>27</v>
      </c>
      <c r="E943" t="s">
        <v>40</v>
      </c>
      <c r="F943" s="4">
        <v>6</v>
      </c>
      <c r="G943" s="4">
        <v>164337.60000000001</v>
      </c>
      <c r="H943" s="4">
        <v>104982.31</v>
      </c>
      <c r="I943" s="8">
        <v>0.2</v>
      </c>
      <c r="J943" s="4">
        <v>59355.29</v>
      </c>
      <c r="K943" s="4" t="str">
        <f t="shared" si="56"/>
        <v>July</v>
      </c>
      <c r="L943">
        <f t="shared" si="57"/>
        <v>7</v>
      </c>
      <c r="M943" s="9">
        <f t="shared" si="58"/>
        <v>0.36117899981501494</v>
      </c>
      <c r="N943" s="9">
        <f t="shared" si="59"/>
        <v>1.5218497729794602E-3</v>
      </c>
    </row>
    <row r="944" spans="1:14" x14ac:dyDescent="0.35">
      <c r="A944" s="6">
        <v>45180</v>
      </c>
      <c r="B944" t="s">
        <v>12</v>
      </c>
      <c r="C944" t="s">
        <v>23</v>
      </c>
      <c r="D944" t="s">
        <v>28</v>
      </c>
      <c r="E944" t="s">
        <v>36</v>
      </c>
      <c r="F944" s="4">
        <v>7</v>
      </c>
      <c r="G944" s="4">
        <v>18506.95</v>
      </c>
      <c r="H944" s="4">
        <v>11639.34</v>
      </c>
      <c r="I944" s="8">
        <v>0.05</v>
      </c>
      <c r="J944" s="4">
        <v>6867.61</v>
      </c>
      <c r="K944" s="4" t="str">
        <f t="shared" si="56"/>
        <v>September</v>
      </c>
      <c r="L944">
        <f t="shared" si="57"/>
        <v>9</v>
      </c>
      <c r="M944" s="9">
        <f t="shared" si="58"/>
        <v>0.37108275539729668</v>
      </c>
      <c r="N944" s="9">
        <f t="shared" si="59"/>
        <v>1.7138377131004846E-4</v>
      </c>
    </row>
    <row r="945" spans="1:14" x14ac:dyDescent="0.35">
      <c r="A945" s="6">
        <v>45237</v>
      </c>
      <c r="B945" t="s">
        <v>9</v>
      </c>
      <c r="C945" t="s">
        <v>15</v>
      </c>
      <c r="D945" t="s">
        <v>26</v>
      </c>
      <c r="E945" t="s">
        <v>43</v>
      </c>
      <c r="F945" s="4">
        <v>5</v>
      </c>
      <c r="G945" s="4">
        <v>104092</v>
      </c>
      <c r="H945" s="4">
        <v>68935.91</v>
      </c>
      <c r="I945" s="8">
        <v>0.2</v>
      </c>
      <c r="J945" s="4">
        <v>35156.089999999997</v>
      </c>
      <c r="K945" s="4" t="str">
        <f t="shared" si="56"/>
        <v>November</v>
      </c>
      <c r="L945">
        <f t="shared" si="57"/>
        <v>11</v>
      </c>
      <c r="M945" s="9">
        <f t="shared" si="58"/>
        <v>0.3377405564308496</v>
      </c>
      <c r="N945" s="9">
        <f t="shared" si="59"/>
        <v>9.639448706137728E-4</v>
      </c>
    </row>
    <row r="946" spans="1:14" x14ac:dyDescent="0.35">
      <c r="A946" s="6">
        <v>45284</v>
      </c>
      <c r="B946" t="s">
        <v>9</v>
      </c>
      <c r="C946" t="s">
        <v>13</v>
      </c>
      <c r="D946" t="s">
        <v>28</v>
      </c>
      <c r="E946" t="s">
        <v>36</v>
      </c>
      <c r="F946" s="4">
        <v>3</v>
      </c>
      <c r="G946" s="4">
        <v>12109.65</v>
      </c>
      <c r="H946" s="4">
        <v>7400.98</v>
      </c>
      <c r="I946" s="8">
        <v>0.05</v>
      </c>
      <c r="J946" s="4">
        <v>4708.67</v>
      </c>
      <c r="K946" s="4" t="str">
        <f t="shared" si="56"/>
        <v>December</v>
      </c>
      <c r="L946">
        <f t="shared" si="57"/>
        <v>12</v>
      </c>
      <c r="M946" s="9">
        <f t="shared" si="58"/>
        <v>0.38883617610748455</v>
      </c>
      <c r="N946" s="9">
        <f t="shared" si="59"/>
        <v>1.1214151906417471E-4</v>
      </c>
    </row>
    <row r="947" spans="1:14" x14ac:dyDescent="0.35">
      <c r="A947" s="6">
        <v>45267</v>
      </c>
      <c r="B947" t="s">
        <v>10</v>
      </c>
      <c r="C947" t="s">
        <v>14</v>
      </c>
      <c r="D947" t="s">
        <v>25</v>
      </c>
      <c r="E947" t="s">
        <v>37</v>
      </c>
      <c r="F947" s="4">
        <v>1</v>
      </c>
      <c r="G947" s="4">
        <v>10732.8</v>
      </c>
      <c r="H947" s="4">
        <v>6585.27</v>
      </c>
      <c r="I947" s="8">
        <v>0.2</v>
      </c>
      <c r="J947" s="4">
        <v>4147.53</v>
      </c>
      <c r="K947" s="4" t="str">
        <f t="shared" si="56"/>
        <v>December</v>
      </c>
      <c r="L947">
        <f t="shared" si="57"/>
        <v>12</v>
      </c>
      <c r="M947" s="9">
        <f t="shared" si="58"/>
        <v>0.38643504025044723</v>
      </c>
      <c r="N947" s="9">
        <f t="shared" si="59"/>
        <v>9.9391187673630066E-5</v>
      </c>
    </row>
    <row r="948" spans="1:14" x14ac:dyDescent="0.35">
      <c r="A948" s="6">
        <v>45197</v>
      </c>
      <c r="B948" t="s">
        <v>11</v>
      </c>
      <c r="C948" t="s">
        <v>18</v>
      </c>
      <c r="D948" t="s">
        <v>28</v>
      </c>
      <c r="E948" t="s">
        <v>42</v>
      </c>
      <c r="F948" s="4">
        <v>2</v>
      </c>
      <c r="G948" s="4">
        <v>22496</v>
      </c>
      <c r="H948" s="4">
        <v>15446.18</v>
      </c>
      <c r="I948" s="8">
        <v>0.2</v>
      </c>
      <c r="J948" s="4">
        <v>7049.82</v>
      </c>
      <c r="K948" s="4" t="str">
        <f t="shared" si="56"/>
        <v>September</v>
      </c>
      <c r="L948">
        <f t="shared" si="57"/>
        <v>9</v>
      </c>
      <c r="M948" s="9">
        <f t="shared" si="58"/>
        <v>0.31338104551920343</v>
      </c>
      <c r="N948" s="9">
        <f t="shared" si="59"/>
        <v>2.0832440350197358E-4</v>
      </c>
    </row>
    <row r="949" spans="1:14" x14ac:dyDescent="0.35">
      <c r="A949" s="6">
        <v>44963</v>
      </c>
      <c r="B949" t="s">
        <v>10</v>
      </c>
      <c r="C949" t="s">
        <v>19</v>
      </c>
      <c r="D949" t="s">
        <v>28</v>
      </c>
      <c r="E949" t="s">
        <v>39</v>
      </c>
      <c r="F949" s="4">
        <v>6</v>
      </c>
      <c r="G949" s="4">
        <v>125679.3</v>
      </c>
      <c r="H949" s="4">
        <v>75037.84</v>
      </c>
      <c r="I949" s="8">
        <v>0.15</v>
      </c>
      <c r="J949" s="4">
        <v>50641.46</v>
      </c>
      <c r="K949" s="4" t="str">
        <f t="shared" si="56"/>
        <v>February</v>
      </c>
      <c r="L949">
        <f t="shared" si="57"/>
        <v>2</v>
      </c>
      <c r="M949" s="9">
        <f t="shared" si="58"/>
        <v>0.40294193236276776</v>
      </c>
      <c r="N949" s="9">
        <f t="shared" si="59"/>
        <v>1.1638542498686696E-3</v>
      </c>
    </row>
    <row r="950" spans="1:14" x14ac:dyDescent="0.35">
      <c r="A950" s="6">
        <v>45085</v>
      </c>
      <c r="B950" t="s">
        <v>10</v>
      </c>
      <c r="C950" t="s">
        <v>22</v>
      </c>
      <c r="D950" t="s">
        <v>25</v>
      </c>
      <c r="E950" t="s">
        <v>33</v>
      </c>
      <c r="F950" s="4">
        <v>5</v>
      </c>
      <c r="G950" s="4">
        <v>161402.25</v>
      </c>
      <c r="H950" s="4">
        <v>93189.26</v>
      </c>
      <c r="I950" s="8">
        <v>0.15</v>
      </c>
      <c r="J950" s="4">
        <v>68212.990000000005</v>
      </c>
      <c r="K950" s="4" t="str">
        <f t="shared" si="56"/>
        <v>June</v>
      </c>
      <c r="L950">
        <f t="shared" si="57"/>
        <v>6</v>
      </c>
      <c r="M950" s="9">
        <f t="shared" si="58"/>
        <v>0.42262725581582666</v>
      </c>
      <c r="N950" s="9">
        <f t="shared" si="59"/>
        <v>1.4946669387947374E-3</v>
      </c>
    </row>
    <row r="951" spans="1:14" x14ac:dyDescent="0.35">
      <c r="A951" s="6">
        <v>45016</v>
      </c>
      <c r="B951" t="s">
        <v>10</v>
      </c>
      <c r="C951" t="s">
        <v>14</v>
      </c>
      <c r="D951" t="s">
        <v>27</v>
      </c>
      <c r="E951" t="s">
        <v>38</v>
      </c>
      <c r="F951" s="4">
        <v>1</v>
      </c>
      <c r="G951" s="4">
        <v>3438</v>
      </c>
      <c r="H951" s="4">
        <v>2126.59</v>
      </c>
      <c r="I951" s="8">
        <v>0.1</v>
      </c>
      <c r="J951" s="4">
        <v>1311.41</v>
      </c>
      <c r="K951" s="4" t="str">
        <f t="shared" si="56"/>
        <v>March</v>
      </c>
      <c r="L951">
        <f t="shared" si="57"/>
        <v>3</v>
      </c>
      <c r="M951" s="9">
        <f t="shared" si="58"/>
        <v>0.3814456079115765</v>
      </c>
      <c r="N951" s="9">
        <f t="shared" si="59"/>
        <v>3.1837628878013209E-5</v>
      </c>
    </row>
    <row r="952" spans="1:14" x14ac:dyDescent="0.35">
      <c r="A952" s="6">
        <v>45061</v>
      </c>
      <c r="B952" t="s">
        <v>12</v>
      </c>
      <c r="C952" t="s">
        <v>21</v>
      </c>
      <c r="D952" t="s">
        <v>27</v>
      </c>
      <c r="E952" t="s">
        <v>40</v>
      </c>
      <c r="F952" s="4">
        <v>4</v>
      </c>
      <c r="G952" s="4">
        <v>90774.399999999994</v>
      </c>
      <c r="H952" s="4">
        <v>65249.34</v>
      </c>
      <c r="I952" s="8">
        <v>0.2</v>
      </c>
      <c r="J952" s="4">
        <v>25525.06</v>
      </c>
      <c r="K952" s="4" t="str">
        <f t="shared" si="56"/>
        <v>May</v>
      </c>
      <c r="L952">
        <f t="shared" si="57"/>
        <v>5</v>
      </c>
      <c r="M952" s="9">
        <f t="shared" si="58"/>
        <v>0.28119227447386053</v>
      </c>
      <c r="N952" s="9">
        <f t="shared" si="59"/>
        <v>8.4061712007688257E-4</v>
      </c>
    </row>
    <row r="953" spans="1:14" x14ac:dyDescent="0.35">
      <c r="A953" s="6">
        <v>45055</v>
      </c>
      <c r="B953" t="s">
        <v>10</v>
      </c>
      <c r="C953" t="s">
        <v>14</v>
      </c>
      <c r="D953" t="s">
        <v>25</v>
      </c>
      <c r="E953" t="s">
        <v>32</v>
      </c>
      <c r="F953" s="4">
        <v>6</v>
      </c>
      <c r="G953" s="4">
        <v>67656</v>
      </c>
      <c r="H953" s="4">
        <v>51733.16</v>
      </c>
      <c r="I953" s="8">
        <v>0</v>
      </c>
      <c r="J953" s="4">
        <v>15922.84</v>
      </c>
      <c r="K953" s="4" t="str">
        <f t="shared" si="56"/>
        <v>May</v>
      </c>
      <c r="L953">
        <f t="shared" si="57"/>
        <v>5</v>
      </c>
      <c r="M953" s="9">
        <f t="shared" si="58"/>
        <v>0.23535000591226204</v>
      </c>
      <c r="N953" s="9">
        <f t="shared" si="59"/>
        <v>6.2652897596592841E-4</v>
      </c>
    </row>
    <row r="954" spans="1:14" x14ac:dyDescent="0.35">
      <c r="A954" s="6">
        <v>45240</v>
      </c>
      <c r="B954" t="s">
        <v>9</v>
      </c>
      <c r="C954" t="s">
        <v>20</v>
      </c>
      <c r="D954" t="s">
        <v>28</v>
      </c>
      <c r="E954" t="s">
        <v>44</v>
      </c>
      <c r="F954" s="4">
        <v>1</v>
      </c>
      <c r="G954" s="4">
        <v>12542.4</v>
      </c>
      <c r="H954" s="4">
        <v>8786.75</v>
      </c>
      <c r="I954" s="8">
        <v>0.1</v>
      </c>
      <c r="J954" s="4">
        <v>3755.65</v>
      </c>
      <c r="K954" s="4" t="str">
        <f t="shared" si="56"/>
        <v>November</v>
      </c>
      <c r="L954">
        <f t="shared" si="57"/>
        <v>11</v>
      </c>
      <c r="M954" s="9">
        <f t="shared" si="58"/>
        <v>0.29943631202959564</v>
      </c>
      <c r="N954" s="9">
        <f t="shared" si="59"/>
        <v>1.1614900419999792E-4</v>
      </c>
    </row>
    <row r="955" spans="1:14" x14ac:dyDescent="0.35">
      <c r="A955" s="6">
        <v>45219</v>
      </c>
      <c r="B955" t="s">
        <v>10</v>
      </c>
      <c r="C955" t="s">
        <v>14</v>
      </c>
      <c r="D955" t="s">
        <v>28</v>
      </c>
      <c r="E955" t="s">
        <v>36</v>
      </c>
      <c r="F955" s="4">
        <v>2</v>
      </c>
      <c r="G955" s="4">
        <v>26396.7</v>
      </c>
      <c r="H955" s="4">
        <v>14889.15</v>
      </c>
      <c r="I955" s="8">
        <v>0.05</v>
      </c>
      <c r="J955" s="4">
        <v>11507.55</v>
      </c>
      <c r="K955" s="4" t="str">
        <f t="shared" si="56"/>
        <v>October</v>
      </c>
      <c r="L955">
        <f t="shared" si="57"/>
        <v>10</v>
      </c>
      <c r="M955" s="9">
        <f t="shared" si="58"/>
        <v>0.43594653877189188</v>
      </c>
      <c r="N955" s="9">
        <f t="shared" si="59"/>
        <v>2.4444686975109113E-4</v>
      </c>
    </row>
    <row r="956" spans="1:14" x14ac:dyDescent="0.35">
      <c r="A956" s="6">
        <v>45043</v>
      </c>
      <c r="B956" t="s">
        <v>11</v>
      </c>
      <c r="C956" t="s">
        <v>17</v>
      </c>
      <c r="D956" t="s">
        <v>26</v>
      </c>
      <c r="E956" t="s">
        <v>30</v>
      </c>
      <c r="F956" s="4">
        <v>4</v>
      </c>
      <c r="G956" s="4">
        <v>94416</v>
      </c>
      <c r="H956" s="4">
        <v>59344.28</v>
      </c>
      <c r="I956" s="8">
        <v>0</v>
      </c>
      <c r="J956" s="4">
        <v>35071.72</v>
      </c>
      <c r="K956" s="4" t="str">
        <f t="shared" si="56"/>
        <v>April</v>
      </c>
      <c r="L956">
        <f t="shared" si="57"/>
        <v>4</v>
      </c>
      <c r="M956" s="9">
        <f t="shared" si="58"/>
        <v>0.37145949839010339</v>
      </c>
      <c r="N956" s="9">
        <f t="shared" si="59"/>
        <v>8.7434018852428595E-4</v>
      </c>
    </row>
    <row r="957" spans="1:14" x14ac:dyDescent="0.35">
      <c r="A957" s="6">
        <v>45227</v>
      </c>
      <c r="B957" t="s">
        <v>11</v>
      </c>
      <c r="C957" t="s">
        <v>16</v>
      </c>
      <c r="D957" t="s">
        <v>28</v>
      </c>
      <c r="E957" t="s">
        <v>39</v>
      </c>
      <c r="F957" s="4">
        <v>7</v>
      </c>
      <c r="G957" s="4">
        <v>53159.4</v>
      </c>
      <c r="H957" s="4">
        <v>32131.25</v>
      </c>
      <c r="I957" s="8">
        <v>0.1</v>
      </c>
      <c r="J957" s="4">
        <v>21028.15</v>
      </c>
      <c r="K957" s="4" t="str">
        <f t="shared" si="56"/>
        <v>October</v>
      </c>
      <c r="L957">
        <f t="shared" si="57"/>
        <v>10</v>
      </c>
      <c r="M957" s="9">
        <f t="shared" si="58"/>
        <v>0.3955678581774813</v>
      </c>
      <c r="N957" s="9">
        <f t="shared" si="59"/>
        <v>4.9228308568291317E-4</v>
      </c>
    </row>
    <row r="958" spans="1:14" x14ac:dyDescent="0.35">
      <c r="A958" s="6">
        <v>44942</v>
      </c>
      <c r="B958" t="s">
        <v>10</v>
      </c>
      <c r="C958" t="s">
        <v>14</v>
      </c>
      <c r="D958" t="s">
        <v>27</v>
      </c>
      <c r="E958" t="s">
        <v>31</v>
      </c>
      <c r="F958" s="4">
        <v>7</v>
      </c>
      <c r="G958" s="4">
        <v>38285.1</v>
      </c>
      <c r="H958" s="4">
        <v>30399.19</v>
      </c>
      <c r="I958" s="8">
        <v>0.1</v>
      </c>
      <c r="J958" s="4">
        <v>7885.91</v>
      </c>
      <c r="K958" s="4" t="str">
        <f t="shared" si="56"/>
        <v>January</v>
      </c>
      <c r="L958">
        <f t="shared" si="57"/>
        <v>1</v>
      </c>
      <c r="M958" s="9">
        <f t="shared" si="58"/>
        <v>0.20597856607400791</v>
      </c>
      <c r="N958" s="9">
        <f t="shared" si="59"/>
        <v>3.5453950126748793E-4</v>
      </c>
    </row>
    <row r="959" spans="1:14" x14ac:dyDescent="0.35">
      <c r="A959" s="6">
        <v>45119</v>
      </c>
      <c r="B959" t="s">
        <v>9</v>
      </c>
      <c r="C959" t="s">
        <v>13</v>
      </c>
      <c r="D959" t="s">
        <v>25</v>
      </c>
      <c r="E959" t="s">
        <v>32</v>
      </c>
      <c r="F959" s="4">
        <v>7</v>
      </c>
      <c r="G959" s="4">
        <v>210581</v>
      </c>
      <c r="H959" s="4">
        <v>134286.32999999999</v>
      </c>
      <c r="I959" s="8">
        <v>0</v>
      </c>
      <c r="J959" s="4">
        <v>76294.67</v>
      </c>
      <c r="K959" s="4" t="str">
        <f t="shared" si="56"/>
        <v>July</v>
      </c>
      <c r="L959">
        <f t="shared" si="57"/>
        <v>7</v>
      </c>
      <c r="M959" s="9">
        <f t="shared" si="58"/>
        <v>0.3623055736272503</v>
      </c>
      <c r="N959" s="9">
        <f t="shared" si="59"/>
        <v>1.9500871805587258E-3</v>
      </c>
    </row>
    <row r="960" spans="1:14" x14ac:dyDescent="0.35">
      <c r="A960" s="6">
        <v>45001</v>
      </c>
      <c r="B960" t="s">
        <v>9</v>
      </c>
      <c r="C960" t="s">
        <v>20</v>
      </c>
      <c r="D960" t="s">
        <v>25</v>
      </c>
      <c r="E960" t="s">
        <v>37</v>
      </c>
      <c r="F960" s="4">
        <v>3</v>
      </c>
      <c r="G960" s="4">
        <v>61668</v>
      </c>
      <c r="H960" s="4">
        <v>36467.68</v>
      </c>
      <c r="I960" s="8">
        <v>0.1</v>
      </c>
      <c r="J960" s="4">
        <v>25200.32</v>
      </c>
      <c r="K960" s="4" t="str">
        <f t="shared" si="56"/>
        <v>March</v>
      </c>
      <c r="L960">
        <f t="shared" si="57"/>
        <v>3</v>
      </c>
      <c r="M960" s="9">
        <f t="shared" si="58"/>
        <v>0.40864500227022116</v>
      </c>
      <c r="N960" s="9">
        <f t="shared" si="59"/>
        <v>5.7107704992708506E-4</v>
      </c>
    </row>
    <row r="961" spans="1:14" x14ac:dyDescent="0.35">
      <c r="A961" s="6">
        <v>45130</v>
      </c>
      <c r="B961" t="s">
        <v>10</v>
      </c>
      <c r="C961" t="s">
        <v>19</v>
      </c>
      <c r="D961" t="s">
        <v>25</v>
      </c>
      <c r="E961" t="s">
        <v>33</v>
      </c>
      <c r="F961" s="4">
        <v>2</v>
      </c>
      <c r="G961" s="4">
        <v>78633</v>
      </c>
      <c r="H961" s="4">
        <v>52247.79</v>
      </c>
      <c r="I961" s="8">
        <v>0.1</v>
      </c>
      <c r="J961" s="4">
        <v>26385.21</v>
      </c>
      <c r="K961" s="4" t="str">
        <f t="shared" si="56"/>
        <v>July</v>
      </c>
      <c r="L961">
        <f t="shared" si="57"/>
        <v>7</v>
      </c>
      <c r="M961" s="9">
        <f t="shared" si="58"/>
        <v>0.33554881538285453</v>
      </c>
      <c r="N961" s="9">
        <f t="shared" si="59"/>
        <v>7.2818157986178375E-4</v>
      </c>
    </row>
    <row r="962" spans="1:14" x14ac:dyDescent="0.35">
      <c r="A962" s="6">
        <v>45058</v>
      </c>
      <c r="B962" t="s">
        <v>9</v>
      </c>
      <c r="C962" t="s">
        <v>13</v>
      </c>
      <c r="D962" t="s">
        <v>28</v>
      </c>
      <c r="E962" t="s">
        <v>39</v>
      </c>
      <c r="F962" s="4">
        <v>5</v>
      </c>
      <c r="G962" s="4">
        <v>81030.25</v>
      </c>
      <c r="H962" s="4">
        <v>62939.95</v>
      </c>
      <c r="I962" s="8">
        <v>0.05</v>
      </c>
      <c r="J962" s="4">
        <v>18090.3</v>
      </c>
      <c r="K962" s="4" t="str">
        <f t="shared" si="56"/>
        <v>May</v>
      </c>
      <c r="L962">
        <f t="shared" si="57"/>
        <v>5</v>
      </c>
      <c r="M962" s="9">
        <f t="shared" si="58"/>
        <v>0.22325366144125186</v>
      </c>
      <c r="N962" s="9">
        <f t="shared" si="59"/>
        <v>7.5038133432013662E-4</v>
      </c>
    </row>
    <row r="963" spans="1:14" x14ac:dyDescent="0.35">
      <c r="A963" s="6">
        <v>45236</v>
      </c>
      <c r="B963" t="s">
        <v>11</v>
      </c>
      <c r="C963" t="s">
        <v>18</v>
      </c>
      <c r="D963" t="s">
        <v>27</v>
      </c>
      <c r="E963" t="s">
        <v>31</v>
      </c>
      <c r="F963" s="4">
        <v>4</v>
      </c>
      <c r="G963" s="4">
        <v>72514.8</v>
      </c>
      <c r="H963" s="4">
        <v>45389.46</v>
      </c>
      <c r="I963" s="8">
        <v>0.1</v>
      </c>
      <c r="J963" s="4">
        <v>27125.34</v>
      </c>
      <c r="K963" s="4" t="str">
        <f t="shared" ref="K963:K1026" si="60">TEXT(A963,"mmmm")</f>
        <v>November</v>
      </c>
      <c r="L963">
        <f t="shared" ref="L963:L1026" si="61">MONTH(A963)</f>
        <v>11</v>
      </c>
      <c r="M963" s="9">
        <f t="shared" ref="M963:M1026" si="62">J963/G963</f>
        <v>0.37406625957735523</v>
      </c>
      <c r="N963" s="9">
        <f t="shared" ref="N963:N1026" si="63">G963/SUM(G:G)</f>
        <v>6.7152393559143466E-4</v>
      </c>
    </row>
    <row r="964" spans="1:14" x14ac:dyDescent="0.35">
      <c r="A964" s="6">
        <v>45233</v>
      </c>
      <c r="B964" t="s">
        <v>11</v>
      </c>
      <c r="C964" t="s">
        <v>16</v>
      </c>
      <c r="D964" t="s">
        <v>25</v>
      </c>
      <c r="E964" t="s">
        <v>33</v>
      </c>
      <c r="F964" s="4">
        <v>2</v>
      </c>
      <c r="G964" s="4">
        <v>6284</v>
      </c>
      <c r="H964" s="4">
        <v>3624.65</v>
      </c>
      <c r="I964" s="8">
        <v>0</v>
      </c>
      <c r="J964" s="4">
        <v>2659.35</v>
      </c>
      <c r="K964" s="4" t="str">
        <f t="shared" si="60"/>
        <v>November</v>
      </c>
      <c r="L964">
        <f t="shared" si="61"/>
        <v>11</v>
      </c>
      <c r="M964" s="9">
        <f t="shared" si="62"/>
        <v>0.42319382558879692</v>
      </c>
      <c r="N964" s="9">
        <f t="shared" si="63"/>
        <v>5.8193036611237638E-5</v>
      </c>
    </row>
    <row r="965" spans="1:14" x14ac:dyDescent="0.35">
      <c r="A965" s="6">
        <v>45107</v>
      </c>
      <c r="B965" t="s">
        <v>10</v>
      </c>
      <c r="C965" t="s">
        <v>22</v>
      </c>
      <c r="D965" t="s">
        <v>27</v>
      </c>
      <c r="E965" t="s">
        <v>31</v>
      </c>
      <c r="F965" s="4">
        <v>5</v>
      </c>
      <c r="G965" s="4">
        <v>166017.75</v>
      </c>
      <c r="H965" s="4">
        <v>129648.71</v>
      </c>
      <c r="I965" s="8">
        <v>0.15</v>
      </c>
      <c r="J965" s="4">
        <v>36369.040000000001</v>
      </c>
      <c r="K965" s="4" t="str">
        <f t="shared" si="60"/>
        <v>June</v>
      </c>
      <c r="L965">
        <f t="shared" si="61"/>
        <v>6</v>
      </c>
      <c r="M965" s="9">
        <f t="shared" si="62"/>
        <v>0.21906717805776793</v>
      </c>
      <c r="N965" s="9">
        <f t="shared" si="63"/>
        <v>1.5374088166558398E-3</v>
      </c>
    </row>
    <row r="966" spans="1:14" x14ac:dyDescent="0.35">
      <c r="A966" s="6">
        <v>45226</v>
      </c>
      <c r="B966" t="s">
        <v>10</v>
      </c>
      <c r="C966" t="s">
        <v>19</v>
      </c>
      <c r="D966" t="s">
        <v>26</v>
      </c>
      <c r="E966" t="s">
        <v>43</v>
      </c>
      <c r="F966" s="4">
        <v>2</v>
      </c>
      <c r="G966" s="4">
        <v>56609.599999999999</v>
      </c>
      <c r="H966" s="4">
        <v>34224.79</v>
      </c>
      <c r="I966" s="8">
        <v>0.2</v>
      </c>
      <c r="J966" s="4">
        <v>22384.81</v>
      </c>
      <c r="K966" s="4" t="str">
        <f t="shared" si="60"/>
        <v>October</v>
      </c>
      <c r="L966">
        <f t="shared" si="61"/>
        <v>10</v>
      </c>
      <c r="M966" s="9">
        <f t="shared" si="62"/>
        <v>0.39542427432802918</v>
      </c>
      <c r="N966" s="9">
        <f t="shared" si="63"/>
        <v>5.2423369276695072E-4</v>
      </c>
    </row>
    <row r="967" spans="1:14" x14ac:dyDescent="0.35">
      <c r="A967" s="6">
        <v>45114</v>
      </c>
      <c r="B967" t="s">
        <v>9</v>
      </c>
      <c r="C967" t="s">
        <v>15</v>
      </c>
      <c r="D967" t="s">
        <v>25</v>
      </c>
      <c r="E967" t="s">
        <v>33</v>
      </c>
      <c r="F967" s="4">
        <v>6</v>
      </c>
      <c r="G967" s="4">
        <v>44606.400000000001</v>
      </c>
      <c r="H967" s="4">
        <v>29339.68</v>
      </c>
      <c r="I967" s="8">
        <v>0.2</v>
      </c>
      <c r="J967" s="4">
        <v>15266.72</v>
      </c>
      <c r="K967" s="4" t="str">
        <f t="shared" si="60"/>
        <v>July</v>
      </c>
      <c r="L967">
        <f t="shared" si="61"/>
        <v>7</v>
      </c>
      <c r="M967" s="9">
        <f t="shared" si="62"/>
        <v>0.34225402632806051</v>
      </c>
      <c r="N967" s="9">
        <f t="shared" si="63"/>
        <v>4.1307795485288207E-4</v>
      </c>
    </row>
    <row r="968" spans="1:14" x14ac:dyDescent="0.35">
      <c r="A968" s="6">
        <v>45164</v>
      </c>
      <c r="B968" t="s">
        <v>9</v>
      </c>
      <c r="C968" t="s">
        <v>15</v>
      </c>
      <c r="D968" t="s">
        <v>27</v>
      </c>
      <c r="E968" t="s">
        <v>40</v>
      </c>
      <c r="F968" s="4">
        <v>6</v>
      </c>
      <c r="G968" s="4">
        <v>283586.40000000002</v>
      </c>
      <c r="H968" s="4">
        <v>205017.2</v>
      </c>
      <c r="I968" s="8">
        <v>0.05</v>
      </c>
      <c r="J968" s="4">
        <v>78569.2</v>
      </c>
      <c r="K968" s="4" t="str">
        <f t="shared" si="60"/>
        <v>August</v>
      </c>
      <c r="L968">
        <f t="shared" si="61"/>
        <v>8</v>
      </c>
      <c r="M968" s="9">
        <f t="shared" si="62"/>
        <v>0.27705559928120665</v>
      </c>
      <c r="N968" s="9">
        <f t="shared" si="63"/>
        <v>2.6261543217137306E-3</v>
      </c>
    </row>
    <row r="969" spans="1:14" x14ac:dyDescent="0.35">
      <c r="A969" s="6">
        <v>44928</v>
      </c>
      <c r="B969" t="s">
        <v>10</v>
      </c>
      <c r="C969" t="s">
        <v>22</v>
      </c>
      <c r="D969" t="s">
        <v>27</v>
      </c>
      <c r="E969" t="s">
        <v>40</v>
      </c>
      <c r="F969" s="4">
        <v>2</v>
      </c>
      <c r="G969" s="4">
        <v>22059</v>
      </c>
      <c r="H969" s="4">
        <v>13475.92</v>
      </c>
      <c r="I969" s="8">
        <v>0.05</v>
      </c>
      <c r="J969" s="4">
        <v>8583.08</v>
      </c>
      <c r="K969" s="4" t="str">
        <f t="shared" si="60"/>
        <v>January</v>
      </c>
      <c r="L969">
        <f t="shared" si="61"/>
        <v>1</v>
      </c>
      <c r="M969" s="9">
        <f t="shared" si="62"/>
        <v>0.38909651389455552</v>
      </c>
      <c r="N969" s="9">
        <f t="shared" si="63"/>
        <v>2.0427756120421564E-4</v>
      </c>
    </row>
    <row r="970" spans="1:14" x14ac:dyDescent="0.35">
      <c r="A970" s="6">
        <v>45196</v>
      </c>
      <c r="B970" t="s">
        <v>9</v>
      </c>
      <c r="C970" t="s">
        <v>13</v>
      </c>
      <c r="D970" t="s">
        <v>25</v>
      </c>
      <c r="E970" t="s">
        <v>29</v>
      </c>
      <c r="F970" s="4">
        <v>5</v>
      </c>
      <c r="G970" s="4">
        <v>105004.75</v>
      </c>
      <c r="H970" s="4">
        <v>74307.539999999994</v>
      </c>
      <c r="I970" s="8">
        <v>0.15</v>
      </c>
      <c r="J970" s="4">
        <v>30697.21</v>
      </c>
      <c r="K970" s="4" t="str">
        <f t="shared" si="60"/>
        <v>September</v>
      </c>
      <c r="L970">
        <f t="shared" si="61"/>
        <v>9</v>
      </c>
      <c r="M970" s="9">
        <f t="shared" si="62"/>
        <v>0.29234115599532401</v>
      </c>
      <c r="N970" s="9">
        <f t="shared" si="63"/>
        <v>9.7239739992104643E-4</v>
      </c>
    </row>
    <row r="971" spans="1:14" x14ac:dyDescent="0.35">
      <c r="A971" s="6">
        <v>44995</v>
      </c>
      <c r="B971" t="s">
        <v>9</v>
      </c>
      <c r="C971" t="s">
        <v>15</v>
      </c>
      <c r="D971" t="s">
        <v>27</v>
      </c>
      <c r="E971" t="s">
        <v>38</v>
      </c>
      <c r="F971" s="4">
        <v>2</v>
      </c>
      <c r="G971" s="4">
        <v>34224.699999999997</v>
      </c>
      <c r="H971" s="4">
        <v>26870.639999999999</v>
      </c>
      <c r="I971" s="8">
        <v>0.05</v>
      </c>
      <c r="J971" s="4">
        <v>7354.06</v>
      </c>
      <c r="K971" s="4" t="str">
        <f t="shared" si="60"/>
        <v>March</v>
      </c>
      <c r="L971">
        <f t="shared" si="61"/>
        <v>3</v>
      </c>
      <c r="M971" s="9">
        <f t="shared" si="62"/>
        <v>0.21487580606988524</v>
      </c>
      <c r="N971" s="9">
        <f t="shared" si="63"/>
        <v>3.1693813178049408E-4</v>
      </c>
    </row>
    <row r="972" spans="1:14" x14ac:dyDescent="0.35">
      <c r="A972" s="6">
        <v>44988</v>
      </c>
      <c r="B972" t="s">
        <v>12</v>
      </c>
      <c r="C972" t="s">
        <v>24</v>
      </c>
      <c r="D972" t="s">
        <v>27</v>
      </c>
      <c r="E972" t="s">
        <v>38</v>
      </c>
      <c r="F972" s="4">
        <v>1</v>
      </c>
      <c r="G972" s="4">
        <v>3881.95</v>
      </c>
      <c r="H972" s="4">
        <v>2984.91</v>
      </c>
      <c r="I972" s="8">
        <v>0.15</v>
      </c>
      <c r="J972" s="4">
        <v>897.04</v>
      </c>
      <c r="K972" s="4" t="str">
        <f t="shared" si="60"/>
        <v>March</v>
      </c>
      <c r="L972">
        <f t="shared" si="61"/>
        <v>3</v>
      </c>
      <c r="M972" s="9">
        <f t="shared" si="62"/>
        <v>0.23107974085189145</v>
      </c>
      <c r="N972" s="9">
        <f t="shared" si="63"/>
        <v>3.5948831711170267E-5</v>
      </c>
    </row>
    <row r="973" spans="1:14" x14ac:dyDescent="0.35">
      <c r="A973" s="6">
        <v>45275</v>
      </c>
      <c r="B973" t="s">
        <v>12</v>
      </c>
      <c r="C973" t="s">
        <v>23</v>
      </c>
      <c r="D973" t="s">
        <v>27</v>
      </c>
      <c r="E973" t="s">
        <v>41</v>
      </c>
      <c r="F973" s="4">
        <v>6</v>
      </c>
      <c r="G973" s="4">
        <v>124830</v>
      </c>
      <c r="H973" s="4">
        <v>69534.100000000006</v>
      </c>
      <c r="I973" s="8">
        <v>0.05</v>
      </c>
      <c r="J973" s="4">
        <v>55295.9</v>
      </c>
      <c r="K973" s="4" t="str">
        <f t="shared" si="60"/>
        <v>December</v>
      </c>
      <c r="L973">
        <f t="shared" si="61"/>
        <v>12</v>
      </c>
      <c r="M973" s="9">
        <f t="shared" si="62"/>
        <v>0.44296963870864375</v>
      </c>
      <c r="N973" s="9">
        <f t="shared" si="63"/>
        <v>1.1559892998378094E-3</v>
      </c>
    </row>
    <row r="974" spans="1:14" x14ac:dyDescent="0.35">
      <c r="A974" s="6">
        <v>45040</v>
      </c>
      <c r="B974" t="s">
        <v>11</v>
      </c>
      <c r="C974" t="s">
        <v>18</v>
      </c>
      <c r="D974" t="s">
        <v>28</v>
      </c>
      <c r="E974" t="s">
        <v>39</v>
      </c>
      <c r="F974" s="4">
        <v>1</v>
      </c>
      <c r="G974" s="4">
        <v>21800.7</v>
      </c>
      <c r="H974" s="4">
        <v>15545.43</v>
      </c>
      <c r="I974" s="8">
        <v>0.1</v>
      </c>
      <c r="J974" s="4">
        <v>6255.27</v>
      </c>
      <c r="K974" s="4" t="str">
        <f t="shared" si="60"/>
        <v>April</v>
      </c>
      <c r="L974">
        <f t="shared" si="61"/>
        <v>4</v>
      </c>
      <c r="M974" s="9">
        <f t="shared" si="62"/>
        <v>0.28692977748420923</v>
      </c>
      <c r="N974" s="9">
        <f t="shared" si="63"/>
        <v>2.0188557180945394E-4</v>
      </c>
    </row>
    <row r="975" spans="1:14" x14ac:dyDescent="0.35">
      <c r="A975" s="6">
        <v>44946</v>
      </c>
      <c r="B975" t="s">
        <v>10</v>
      </c>
      <c r="C975" t="s">
        <v>19</v>
      </c>
      <c r="D975" t="s">
        <v>26</v>
      </c>
      <c r="E975" t="s">
        <v>34</v>
      </c>
      <c r="F975" s="4">
        <v>5</v>
      </c>
      <c r="G975" s="4">
        <v>142713.75</v>
      </c>
      <c r="H975" s="4">
        <v>111052.88</v>
      </c>
      <c r="I975" s="8">
        <v>0.05</v>
      </c>
      <c r="J975" s="4">
        <v>31660.87</v>
      </c>
      <c r="K975" s="4" t="str">
        <f t="shared" si="60"/>
        <v>January</v>
      </c>
      <c r="L975">
        <f t="shared" si="61"/>
        <v>1</v>
      </c>
      <c r="M975" s="9">
        <f t="shared" si="62"/>
        <v>0.22184877070359371</v>
      </c>
      <c r="N975" s="9">
        <f t="shared" si="63"/>
        <v>1.3216019221319248E-3</v>
      </c>
    </row>
    <row r="976" spans="1:14" x14ac:dyDescent="0.35">
      <c r="A976" s="6">
        <v>45219</v>
      </c>
      <c r="B976" t="s">
        <v>10</v>
      </c>
      <c r="C976" t="s">
        <v>14</v>
      </c>
      <c r="D976" t="s">
        <v>27</v>
      </c>
      <c r="E976" t="s">
        <v>41</v>
      </c>
      <c r="F976" s="4">
        <v>5</v>
      </c>
      <c r="G976" s="4">
        <v>77715</v>
      </c>
      <c r="H976" s="4">
        <v>61500.71</v>
      </c>
      <c r="I976" s="8">
        <v>0</v>
      </c>
      <c r="J976" s="4">
        <v>16214.29</v>
      </c>
      <c r="K976" s="4" t="str">
        <f t="shared" si="60"/>
        <v>October</v>
      </c>
      <c r="L976">
        <f t="shared" si="61"/>
        <v>10</v>
      </c>
      <c r="M976" s="9">
        <f t="shared" si="62"/>
        <v>0.20863784340217462</v>
      </c>
      <c r="N976" s="9">
        <f t="shared" si="63"/>
        <v>7.1968043288388498E-4</v>
      </c>
    </row>
    <row r="977" spans="1:14" x14ac:dyDescent="0.35">
      <c r="A977" s="6">
        <v>44958</v>
      </c>
      <c r="B977" t="s">
        <v>11</v>
      </c>
      <c r="C977" t="s">
        <v>18</v>
      </c>
      <c r="D977" t="s">
        <v>26</v>
      </c>
      <c r="E977" t="s">
        <v>43</v>
      </c>
      <c r="F977" s="4">
        <v>6</v>
      </c>
      <c r="G977" s="4">
        <v>226368</v>
      </c>
      <c r="H977" s="4">
        <v>179077.08</v>
      </c>
      <c r="I977" s="8">
        <v>0.2</v>
      </c>
      <c r="J977" s="4">
        <v>47290.92</v>
      </c>
      <c r="K977" s="4" t="str">
        <f t="shared" si="60"/>
        <v>February</v>
      </c>
      <c r="L977">
        <f t="shared" si="61"/>
        <v>2</v>
      </c>
      <c r="M977" s="9">
        <f t="shared" si="62"/>
        <v>0.20891168363019508</v>
      </c>
      <c r="N977" s="9">
        <f t="shared" si="63"/>
        <v>2.0962828312559903E-3</v>
      </c>
    </row>
    <row r="978" spans="1:14" x14ac:dyDescent="0.35">
      <c r="A978" s="6">
        <v>45111</v>
      </c>
      <c r="B978" t="s">
        <v>12</v>
      </c>
      <c r="C978" t="s">
        <v>24</v>
      </c>
      <c r="D978" t="s">
        <v>25</v>
      </c>
      <c r="E978" t="s">
        <v>32</v>
      </c>
      <c r="F978" s="4">
        <v>2</v>
      </c>
      <c r="G978" s="4">
        <v>30616</v>
      </c>
      <c r="H978" s="4">
        <v>23084.13</v>
      </c>
      <c r="I978" s="8">
        <v>0.2</v>
      </c>
      <c r="J978" s="4">
        <v>7531.87</v>
      </c>
      <c r="K978" s="4" t="str">
        <f t="shared" si="60"/>
        <v>July</v>
      </c>
      <c r="L978">
        <f t="shared" si="61"/>
        <v>7</v>
      </c>
      <c r="M978" s="9">
        <f t="shared" si="62"/>
        <v>0.24601090932845571</v>
      </c>
      <c r="N978" s="9">
        <f t="shared" si="63"/>
        <v>2.8351973406900885E-4</v>
      </c>
    </row>
    <row r="979" spans="1:14" x14ac:dyDescent="0.35">
      <c r="A979" s="6">
        <v>45157</v>
      </c>
      <c r="B979" t="s">
        <v>12</v>
      </c>
      <c r="C979" t="s">
        <v>24</v>
      </c>
      <c r="D979" t="s">
        <v>27</v>
      </c>
      <c r="E979" t="s">
        <v>41</v>
      </c>
      <c r="F979" s="4">
        <v>2</v>
      </c>
      <c r="G979" s="4">
        <v>43118</v>
      </c>
      <c r="H979" s="4">
        <v>31357.18</v>
      </c>
      <c r="I979" s="8">
        <v>0</v>
      </c>
      <c r="J979" s="4">
        <v>11760.82</v>
      </c>
      <c r="K979" s="4" t="str">
        <f t="shared" si="60"/>
        <v>August</v>
      </c>
      <c r="L979">
        <f t="shared" si="61"/>
        <v>8</v>
      </c>
      <c r="M979" s="9">
        <f t="shared" si="62"/>
        <v>0.27275894058165961</v>
      </c>
      <c r="N979" s="9">
        <f t="shared" si="63"/>
        <v>3.9929461371790968E-4</v>
      </c>
    </row>
    <row r="980" spans="1:14" x14ac:dyDescent="0.35">
      <c r="A980" s="6">
        <v>45098</v>
      </c>
      <c r="B980" t="s">
        <v>11</v>
      </c>
      <c r="C980" t="s">
        <v>17</v>
      </c>
      <c r="D980" t="s">
        <v>25</v>
      </c>
      <c r="E980" t="s">
        <v>29</v>
      </c>
      <c r="F980" s="4">
        <v>1</v>
      </c>
      <c r="G980" s="4">
        <v>24669.599999999999</v>
      </c>
      <c r="H980" s="4">
        <v>14454.05</v>
      </c>
      <c r="I980" s="8">
        <v>0.2</v>
      </c>
      <c r="J980" s="4">
        <v>10215.549999999999</v>
      </c>
      <c r="K980" s="4" t="str">
        <f t="shared" si="60"/>
        <v>June</v>
      </c>
      <c r="L980">
        <f t="shared" si="61"/>
        <v>6</v>
      </c>
      <c r="M980" s="9">
        <f t="shared" si="62"/>
        <v>0.41409467522781074</v>
      </c>
      <c r="N980" s="9">
        <f t="shared" si="63"/>
        <v>2.2845304519169128E-4</v>
      </c>
    </row>
    <row r="981" spans="1:14" x14ac:dyDescent="0.35">
      <c r="A981" s="6">
        <v>44995</v>
      </c>
      <c r="B981" t="s">
        <v>11</v>
      </c>
      <c r="C981" t="s">
        <v>17</v>
      </c>
      <c r="D981" t="s">
        <v>26</v>
      </c>
      <c r="E981" t="s">
        <v>35</v>
      </c>
      <c r="F981" s="4">
        <v>2</v>
      </c>
      <c r="G981" s="4">
        <v>83332.100000000006</v>
      </c>
      <c r="H981" s="4">
        <v>52205.37</v>
      </c>
      <c r="I981" s="8">
        <v>0.05</v>
      </c>
      <c r="J981" s="4">
        <v>31126.73</v>
      </c>
      <c r="K981" s="4" t="str">
        <f t="shared" si="60"/>
        <v>March</v>
      </c>
      <c r="L981">
        <f t="shared" si="61"/>
        <v>3</v>
      </c>
      <c r="M981" s="9">
        <f t="shared" si="62"/>
        <v>0.37352628818906519</v>
      </c>
      <c r="N981" s="9">
        <f t="shared" si="63"/>
        <v>7.7169763624941384E-4</v>
      </c>
    </row>
    <row r="982" spans="1:14" x14ac:dyDescent="0.35">
      <c r="A982" s="6">
        <v>44997</v>
      </c>
      <c r="B982" t="s">
        <v>10</v>
      </c>
      <c r="C982" t="s">
        <v>19</v>
      </c>
      <c r="D982" t="s">
        <v>26</v>
      </c>
      <c r="E982" t="s">
        <v>34</v>
      </c>
      <c r="F982" s="4">
        <v>3</v>
      </c>
      <c r="G982" s="4">
        <v>123883.8</v>
      </c>
      <c r="H982" s="4">
        <v>87873.94</v>
      </c>
      <c r="I982" s="8">
        <v>0.05</v>
      </c>
      <c r="J982" s="4">
        <v>36009.86</v>
      </c>
      <c r="K982" s="4" t="str">
        <f t="shared" si="60"/>
        <v>March</v>
      </c>
      <c r="L982">
        <f t="shared" si="61"/>
        <v>3</v>
      </c>
      <c r="M982" s="9">
        <f t="shared" si="62"/>
        <v>0.29067448689820624</v>
      </c>
      <c r="N982" s="9">
        <f t="shared" si="63"/>
        <v>1.1472270065148379E-3</v>
      </c>
    </row>
    <row r="983" spans="1:14" x14ac:dyDescent="0.35">
      <c r="A983" s="6">
        <v>45052</v>
      </c>
      <c r="B983" t="s">
        <v>9</v>
      </c>
      <c r="C983" t="s">
        <v>20</v>
      </c>
      <c r="D983" t="s">
        <v>28</v>
      </c>
      <c r="E983" t="s">
        <v>42</v>
      </c>
      <c r="F983" s="4">
        <v>3</v>
      </c>
      <c r="G983" s="4">
        <v>101952</v>
      </c>
      <c r="H983" s="4">
        <v>68168.509999999995</v>
      </c>
      <c r="I983" s="8">
        <v>0.1</v>
      </c>
      <c r="J983" s="4">
        <v>33783.49</v>
      </c>
      <c r="K983" s="4" t="str">
        <f t="shared" si="60"/>
        <v>May</v>
      </c>
      <c r="L983">
        <f t="shared" si="61"/>
        <v>5</v>
      </c>
      <c r="M983" s="9">
        <f t="shared" si="62"/>
        <v>0.33136662350910229</v>
      </c>
      <c r="N983" s="9">
        <f t="shared" si="63"/>
        <v>9.441273820160566E-4</v>
      </c>
    </row>
    <row r="984" spans="1:14" x14ac:dyDescent="0.35">
      <c r="A984" s="6">
        <v>44937</v>
      </c>
      <c r="B984" t="s">
        <v>11</v>
      </c>
      <c r="C984" t="s">
        <v>16</v>
      </c>
      <c r="D984" t="s">
        <v>28</v>
      </c>
      <c r="E984" t="s">
        <v>42</v>
      </c>
      <c r="F984" s="4">
        <v>4</v>
      </c>
      <c r="G984" s="4">
        <v>29364</v>
      </c>
      <c r="H984" s="4">
        <v>22658.7</v>
      </c>
      <c r="I984" s="8">
        <v>0</v>
      </c>
      <c r="J984" s="4">
        <v>6705.3</v>
      </c>
      <c r="K984" s="4" t="str">
        <f t="shared" si="60"/>
        <v>January</v>
      </c>
      <c r="L984">
        <f t="shared" si="61"/>
        <v>1</v>
      </c>
      <c r="M984" s="9">
        <f t="shared" si="62"/>
        <v>0.22835104209235799</v>
      </c>
      <c r="N984" s="9">
        <f t="shared" si="63"/>
        <v>2.7192557718847584E-4</v>
      </c>
    </row>
    <row r="985" spans="1:14" x14ac:dyDescent="0.35">
      <c r="A985" s="6">
        <v>45204</v>
      </c>
      <c r="B985" t="s">
        <v>9</v>
      </c>
      <c r="C985" t="s">
        <v>20</v>
      </c>
      <c r="D985" t="s">
        <v>28</v>
      </c>
      <c r="E985" t="s">
        <v>36</v>
      </c>
      <c r="F985" s="4">
        <v>5</v>
      </c>
      <c r="G985" s="4">
        <v>11249.75</v>
      </c>
      <c r="H985" s="4">
        <v>6234.25</v>
      </c>
      <c r="I985" s="8">
        <v>0.15</v>
      </c>
      <c r="J985" s="4">
        <v>5015.5</v>
      </c>
      <c r="K985" s="4" t="str">
        <f t="shared" si="60"/>
        <v>October</v>
      </c>
      <c r="L985">
        <f t="shared" si="61"/>
        <v>10</v>
      </c>
      <c r="M985" s="9">
        <f t="shared" si="62"/>
        <v>0.44583212960288005</v>
      </c>
      <c r="N985" s="9">
        <f t="shared" si="63"/>
        <v>1.041784076411952E-4</v>
      </c>
    </row>
    <row r="986" spans="1:14" x14ac:dyDescent="0.35">
      <c r="A986" s="6">
        <v>45255</v>
      </c>
      <c r="B986" t="s">
        <v>12</v>
      </c>
      <c r="C986" t="s">
        <v>21</v>
      </c>
      <c r="D986" t="s">
        <v>28</v>
      </c>
      <c r="E986" t="s">
        <v>36</v>
      </c>
      <c r="F986" s="4">
        <v>3</v>
      </c>
      <c r="G986" s="4">
        <v>109026.75</v>
      </c>
      <c r="H986" s="4">
        <v>64394.23</v>
      </c>
      <c r="I986" s="8">
        <v>0.05</v>
      </c>
      <c r="J986" s="4">
        <v>44632.52</v>
      </c>
      <c r="K986" s="4" t="str">
        <f t="shared" si="60"/>
        <v>November</v>
      </c>
      <c r="L986">
        <f t="shared" si="61"/>
        <v>11</v>
      </c>
      <c r="M986" s="9">
        <f t="shared" si="62"/>
        <v>0.40937219535572689</v>
      </c>
      <c r="N986" s="9">
        <f t="shared" si="63"/>
        <v>1.0096431658743242E-3</v>
      </c>
    </row>
    <row r="987" spans="1:14" x14ac:dyDescent="0.35">
      <c r="A987" s="6">
        <v>44966</v>
      </c>
      <c r="B987" t="s">
        <v>9</v>
      </c>
      <c r="C987" t="s">
        <v>13</v>
      </c>
      <c r="D987" t="s">
        <v>25</v>
      </c>
      <c r="E987" t="s">
        <v>33</v>
      </c>
      <c r="F987" s="4">
        <v>3</v>
      </c>
      <c r="G987" s="4">
        <v>19877.400000000001</v>
      </c>
      <c r="H987" s="4">
        <v>10975.4</v>
      </c>
      <c r="I987" s="8">
        <v>0.1</v>
      </c>
      <c r="J987" s="4">
        <v>8902</v>
      </c>
      <c r="K987" s="4" t="str">
        <f t="shared" si="60"/>
        <v>February</v>
      </c>
      <c r="L987">
        <f t="shared" si="61"/>
        <v>2</v>
      </c>
      <c r="M987" s="9">
        <f t="shared" si="62"/>
        <v>0.44784529163773928</v>
      </c>
      <c r="N987" s="9">
        <f t="shared" si="63"/>
        <v>1.8407483544497378E-4</v>
      </c>
    </row>
    <row r="988" spans="1:14" x14ac:dyDescent="0.35">
      <c r="A988" s="6">
        <v>45093</v>
      </c>
      <c r="B988" t="s">
        <v>11</v>
      </c>
      <c r="C988" t="s">
        <v>18</v>
      </c>
      <c r="D988" t="s">
        <v>25</v>
      </c>
      <c r="E988" t="s">
        <v>32</v>
      </c>
      <c r="F988" s="4">
        <v>3</v>
      </c>
      <c r="G988" s="4">
        <v>123630.15</v>
      </c>
      <c r="H988" s="4">
        <v>68227.25</v>
      </c>
      <c r="I988" s="8">
        <v>0.05</v>
      </c>
      <c r="J988" s="4">
        <v>55402.9</v>
      </c>
      <c r="K988" s="4" t="str">
        <f t="shared" si="60"/>
        <v>June</v>
      </c>
      <c r="L988">
        <f t="shared" si="61"/>
        <v>6</v>
      </c>
      <c r="M988" s="9">
        <f t="shared" si="62"/>
        <v>0.44813421321578922</v>
      </c>
      <c r="N988" s="9">
        <f t="shared" si="63"/>
        <v>1.144878078485487E-3</v>
      </c>
    </row>
    <row r="989" spans="1:14" x14ac:dyDescent="0.35">
      <c r="A989" s="6">
        <v>45205</v>
      </c>
      <c r="B989" t="s">
        <v>11</v>
      </c>
      <c r="C989" t="s">
        <v>16</v>
      </c>
      <c r="D989" t="s">
        <v>27</v>
      </c>
      <c r="E989" t="s">
        <v>40</v>
      </c>
      <c r="F989" s="4">
        <v>5</v>
      </c>
      <c r="G989" s="4">
        <v>237790</v>
      </c>
      <c r="H989" s="4">
        <v>144636.89000000001</v>
      </c>
      <c r="I989" s="8">
        <v>0</v>
      </c>
      <c r="J989" s="4">
        <v>93153.11</v>
      </c>
      <c r="K989" s="4" t="str">
        <f t="shared" si="60"/>
        <v>October</v>
      </c>
      <c r="L989">
        <f t="shared" si="61"/>
        <v>10</v>
      </c>
      <c r="M989" s="9">
        <f t="shared" si="62"/>
        <v>0.39174527944825266</v>
      </c>
      <c r="N989" s="9">
        <f t="shared" si="63"/>
        <v>2.2020563615191275E-3</v>
      </c>
    </row>
    <row r="990" spans="1:14" x14ac:dyDescent="0.35">
      <c r="A990" s="6">
        <v>45103</v>
      </c>
      <c r="B990" t="s">
        <v>9</v>
      </c>
      <c r="C990" t="s">
        <v>20</v>
      </c>
      <c r="D990" t="s">
        <v>26</v>
      </c>
      <c r="E990" t="s">
        <v>30</v>
      </c>
      <c r="F990" s="4">
        <v>5</v>
      </c>
      <c r="G990" s="4">
        <v>185355.25</v>
      </c>
      <c r="H990" s="4">
        <v>105157.03</v>
      </c>
      <c r="I990" s="8">
        <v>0.15</v>
      </c>
      <c r="J990" s="4">
        <v>80198.22</v>
      </c>
      <c r="K990" s="4" t="str">
        <f t="shared" si="60"/>
        <v>June</v>
      </c>
      <c r="L990">
        <f t="shared" si="61"/>
        <v>6</v>
      </c>
      <c r="M990" s="9">
        <f t="shared" si="62"/>
        <v>0.43267304271122614</v>
      </c>
      <c r="N990" s="9">
        <f t="shared" si="63"/>
        <v>1.716483903458801E-3</v>
      </c>
    </row>
    <row r="991" spans="1:14" x14ac:dyDescent="0.35">
      <c r="A991" s="6">
        <v>45279</v>
      </c>
      <c r="B991" t="s">
        <v>10</v>
      </c>
      <c r="C991" t="s">
        <v>14</v>
      </c>
      <c r="D991" t="s">
        <v>28</v>
      </c>
      <c r="E991" t="s">
        <v>42</v>
      </c>
      <c r="F991" s="4">
        <v>5</v>
      </c>
      <c r="G991" s="4">
        <v>224715</v>
      </c>
      <c r="H991" s="4">
        <v>153999.34</v>
      </c>
      <c r="I991" s="8">
        <v>0</v>
      </c>
      <c r="J991" s="4">
        <v>70715.66</v>
      </c>
      <c r="K991" s="4" t="str">
        <f t="shared" si="60"/>
        <v>December</v>
      </c>
      <c r="L991">
        <f t="shared" si="61"/>
        <v>12</v>
      </c>
      <c r="M991" s="9">
        <f t="shared" si="62"/>
        <v>0.31469043010034936</v>
      </c>
      <c r="N991" s="9">
        <f t="shared" si="63"/>
        <v>2.0809752103905579E-3</v>
      </c>
    </row>
    <row r="992" spans="1:14" x14ac:dyDescent="0.35">
      <c r="A992" s="6">
        <v>45080</v>
      </c>
      <c r="B992" t="s">
        <v>9</v>
      </c>
      <c r="C992" t="s">
        <v>20</v>
      </c>
      <c r="D992" t="s">
        <v>28</v>
      </c>
      <c r="E992" t="s">
        <v>39</v>
      </c>
      <c r="F992" s="4">
        <v>6</v>
      </c>
      <c r="G992" s="4">
        <v>175118.4</v>
      </c>
      <c r="H992" s="4">
        <v>139904.07</v>
      </c>
      <c r="I992" s="8">
        <v>0.2</v>
      </c>
      <c r="J992" s="4">
        <v>35214.33</v>
      </c>
      <c r="K992" s="4" t="str">
        <f t="shared" si="60"/>
        <v>June</v>
      </c>
      <c r="L992">
        <f t="shared" si="61"/>
        <v>6</v>
      </c>
      <c r="M992" s="9">
        <f t="shared" si="62"/>
        <v>0.20108869199353124</v>
      </c>
      <c r="N992" s="9">
        <f t="shared" si="63"/>
        <v>1.621685465070235E-3</v>
      </c>
    </row>
    <row r="993" spans="1:14" x14ac:dyDescent="0.35">
      <c r="A993" s="6">
        <v>45142</v>
      </c>
      <c r="B993" t="s">
        <v>11</v>
      </c>
      <c r="C993" t="s">
        <v>16</v>
      </c>
      <c r="D993" t="s">
        <v>27</v>
      </c>
      <c r="E993" t="s">
        <v>41</v>
      </c>
      <c r="F993" s="4">
        <v>2</v>
      </c>
      <c r="G993" s="4">
        <v>65854</v>
      </c>
      <c r="H993" s="4">
        <v>43646.879999999997</v>
      </c>
      <c r="I993" s="8">
        <v>0.05</v>
      </c>
      <c r="J993" s="4">
        <v>22207.119999999999</v>
      </c>
      <c r="K993" s="4" t="str">
        <f t="shared" si="60"/>
        <v>August</v>
      </c>
      <c r="L993">
        <f t="shared" si="61"/>
        <v>8</v>
      </c>
      <c r="M993" s="9">
        <f t="shared" si="62"/>
        <v>0.33721748109454247</v>
      </c>
      <c r="N993" s="9">
        <f t="shared" si="63"/>
        <v>6.0984153930560849E-4</v>
      </c>
    </row>
    <row r="994" spans="1:14" x14ac:dyDescent="0.35">
      <c r="A994" s="6">
        <v>45112</v>
      </c>
      <c r="B994" t="s">
        <v>10</v>
      </c>
      <c r="C994" t="s">
        <v>22</v>
      </c>
      <c r="D994" t="s">
        <v>27</v>
      </c>
      <c r="E994" t="s">
        <v>31</v>
      </c>
      <c r="F994" s="4">
        <v>4</v>
      </c>
      <c r="G994" s="4">
        <v>161012</v>
      </c>
      <c r="H994" s="4">
        <v>107231.43</v>
      </c>
      <c r="I994" s="8">
        <v>0</v>
      </c>
      <c r="J994" s="4">
        <v>53780.57</v>
      </c>
      <c r="K994" s="4" t="str">
        <f t="shared" si="60"/>
        <v>July</v>
      </c>
      <c r="L994">
        <f t="shared" si="61"/>
        <v>7</v>
      </c>
      <c r="M994" s="9">
        <f t="shared" si="62"/>
        <v>0.33401591185750129</v>
      </c>
      <c r="N994" s="9">
        <f t="shared" si="63"/>
        <v>1.4910530252782615E-3</v>
      </c>
    </row>
    <row r="995" spans="1:14" x14ac:dyDescent="0.35">
      <c r="A995" s="6">
        <v>45204</v>
      </c>
      <c r="B995" t="s">
        <v>10</v>
      </c>
      <c r="C995" t="s">
        <v>19</v>
      </c>
      <c r="D995" t="s">
        <v>28</v>
      </c>
      <c r="E995" t="s">
        <v>36</v>
      </c>
      <c r="F995" s="4">
        <v>6</v>
      </c>
      <c r="G995" s="4">
        <v>106539</v>
      </c>
      <c r="H995" s="4">
        <v>75417.48</v>
      </c>
      <c r="I995" s="8">
        <v>0.15</v>
      </c>
      <c r="J995" s="4">
        <v>31121.52</v>
      </c>
      <c r="K995" s="4" t="str">
        <f t="shared" si="60"/>
        <v>October</v>
      </c>
      <c r="L995">
        <f t="shared" si="61"/>
        <v>10</v>
      </c>
      <c r="M995" s="9">
        <f t="shared" si="62"/>
        <v>0.29211387379269566</v>
      </c>
      <c r="N995" s="9">
        <f t="shared" si="63"/>
        <v>9.8660533537947917E-4</v>
      </c>
    </row>
    <row r="996" spans="1:14" x14ac:dyDescent="0.35">
      <c r="A996" s="6">
        <v>45109</v>
      </c>
      <c r="B996" t="s">
        <v>9</v>
      </c>
      <c r="C996" t="s">
        <v>15</v>
      </c>
      <c r="D996" t="s">
        <v>26</v>
      </c>
      <c r="E996" t="s">
        <v>35</v>
      </c>
      <c r="F996" s="4">
        <v>2</v>
      </c>
      <c r="G996" s="4">
        <v>27974.400000000001</v>
      </c>
      <c r="H996" s="4">
        <v>18593.919999999998</v>
      </c>
      <c r="I996" s="8">
        <v>0.2</v>
      </c>
      <c r="J996" s="4">
        <v>9380.48</v>
      </c>
      <c r="K996" s="4" t="str">
        <f t="shared" si="60"/>
        <v>July</v>
      </c>
      <c r="L996">
        <f t="shared" si="61"/>
        <v>7</v>
      </c>
      <c r="M996" s="9">
        <f t="shared" si="62"/>
        <v>0.33532372454815829</v>
      </c>
      <c r="N996" s="9">
        <f t="shared" si="63"/>
        <v>2.5905717431212705E-4</v>
      </c>
    </row>
    <row r="997" spans="1:14" x14ac:dyDescent="0.35">
      <c r="A997" s="6">
        <v>45112</v>
      </c>
      <c r="B997" t="s">
        <v>9</v>
      </c>
      <c r="C997" t="s">
        <v>13</v>
      </c>
      <c r="D997" t="s">
        <v>25</v>
      </c>
      <c r="E997" t="s">
        <v>37</v>
      </c>
      <c r="F997" s="4">
        <v>2</v>
      </c>
      <c r="G997" s="4">
        <v>64531.199999999997</v>
      </c>
      <c r="H997" s="4">
        <v>50553.43</v>
      </c>
      <c r="I997" s="8">
        <v>0.2</v>
      </c>
      <c r="J997" s="4">
        <v>13977.77</v>
      </c>
      <c r="K997" s="4" t="str">
        <f t="shared" si="60"/>
        <v>July</v>
      </c>
      <c r="L997">
        <f t="shared" si="61"/>
        <v>7</v>
      </c>
      <c r="M997" s="9">
        <f t="shared" si="62"/>
        <v>0.21660483611028467</v>
      </c>
      <c r="N997" s="9">
        <f t="shared" si="63"/>
        <v>5.9759173840978651E-4</v>
      </c>
    </row>
    <row r="998" spans="1:14" x14ac:dyDescent="0.35">
      <c r="A998" s="6">
        <v>45118</v>
      </c>
      <c r="B998" t="s">
        <v>10</v>
      </c>
      <c r="C998" t="s">
        <v>22</v>
      </c>
      <c r="D998" t="s">
        <v>28</v>
      </c>
      <c r="E998" t="s">
        <v>42</v>
      </c>
      <c r="F998" s="4">
        <v>7</v>
      </c>
      <c r="G998" s="4">
        <v>71637.3</v>
      </c>
      <c r="H998" s="4">
        <v>51335.42</v>
      </c>
      <c r="I998" s="8">
        <v>0.1</v>
      </c>
      <c r="J998" s="4">
        <v>20301.88</v>
      </c>
      <c r="K998" s="4" t="str">
        <f t="shared" si="60"/>
        <v>July</v>
      </c>
      <c r="L998">
        <f t="shared" si="61"/>
        <v>7</v>
      </c>
      <c r="M998" s="9">
        <f t="shared" si="62"/>
        <v>0.28339817385635696</v>
      </c>
      <c r="N998" s="9">
        <f t="shared" si="63"/>
        <v>6.6339783921550203E-4</v>
      </c>
    </row>
    <row r="999" spans="1:14" x14ac:dyDescent="0.35">
      <c r="A999" s="6">
        <v>45249</v>
      </c>
      <c r="B999" t="s">
        <v>12</v>
      </c>
      <c r="C999" t="s">
        <v>21</v>
      </c>
      <c r="D999" t="s">
        <v>25</v>
      </c>
      <c r="E999" t="s">
        <v>32</v>
      </c>
      <c r="F999" s="4">
        <v>7</v>
      </c>
      <c r="G999" s="4">
        <v>4926.6000000000004</v>
      </c>
      <c r="H999" s="4">
        <v>3894.74</v>
      </c>
      <c r="I999" s="8">
        <v>0.15</v>
      </c>
      <c r="J999" s="4">
        <v>1031.8599999999999</v>
      </c>
      <c r="K999" s="4" t="str">
        <f t="shared" si="60"/>
        <v>November</v>
      </c>
      <c r="L999">
        <f t="shared" si="61"/>
        <v>11</v>
      </c>
      <c r="M999" s="9">
        <f t="shared" si="62"/>
        <v>0.20944667722161325</v>
      </c>
      <c r="N999" s="9">
        <f t="shared" si="63"/>
        <v>4.5622822114723647E-5</v>
      </c>
    </row>
    <row r="1000" spans="1:14" x14ac:dyDescent="0.35">
      <c r="A1000" s="6">
        <v>44955</v>
      </c>
      <c r="B1000" t="s">
        <v>9</v>
      </c>
      <c r="C1000" t="s">
        <v>13</v>
      </c>
      <c r="D1000" t="s">
        <v>28</v>
      </c>
      <c r="E1000" t="s">
        <v>44</v>
      </c>
      <c r="F1000" s="4">
        <v>5</v>
      </c>
      <c r="G1000" s="4">
        <v>94986</v>
      </c>
      <c r="H1000" s="4">
        <v>52357.91</v>
      </c>
      <c r="I1000" s="8">
        <v>0.1</v>
      </c>
      <c r="J1000" s="4">
        <v>42628.09</v>
      </c>
      <c r="K1000" s="4" t="str">
        <f t="shared" si="60"/>
        <v>January</v>
      </c>
      <c r="L1000">
        <f t="shared" si="61"/>
        <v>1</v>
      </c>
      <c r="M1000" s="9">
        <f t="shared" si="62"/>
        <v>0.44878287326553384</v>
      </c>
      <c r="N1000" s="9">
        <f t="shared" si="63"/>
        <v>8.7961867847788323E-4</v>
      </c>
    </row>
    <row r="1001" spans="1:14" x14ac:dyDescent="0.35">
      <c r="A1001" s="6">
        <v>45065</v>
      </c>
      <c r="B1001" t="s">
        <v>10</v>
      </c>
      <c r="C1001" t="s">
        <v>14</v>
      </c>
      <c r="D1001" t="s">
        <v>27</v>
      </c>
      <c r="E1001" t="s">
        <v>41</v>
      </c>
      <c r="F1001" s="4">
        <v>5</v>
      </c>
      <c r="G1001" s="4">
        <v>148333.5</v>
      </c>
      <c r="H1001" s="4">
        <v>101360.3</v>
      </c>
      <c r="I1001" s="8">
        <v>0.1</v>
      </c>
      <c r="J1001" s="4">
        <v>46973.2</v>
      </c>
      <c r="K1001" s="4" t="str">
        <f t="shared" si="60"/>
        <v>May</v>
      </c>
      <c r="L1001">
        <f t="shared" si="61"/>
        <v>5</v>
      </c>
      <c r="M1001" s="9">
        <f t="shared" si="62"/>
        <v>0.31667290261471615</v>
      </c>
      <c r="N1001" s="9">
        <f t="shared" si="63"/>
        <v>1.3736436658454835E-3</v>
      </c>
    </row>
    <row r="1002" spans="1:14" x14ac:dyDescent="0.35">
      <c r="A1002" s="6">
        <v>45225</v>
      </c>
      <c r="B1002" t="s">
        <v>9</v>
      </c>
      <c r="C1002" t="s">
        <v>20</v>
      </c>
      <c r="D1002" t="s">
        <v>28</v>
      </c>
      <c r="E1002" t="s">
        <v>39</v>
      </c>
      <c r="F1002" s="4">
        <v>3</v>
      </c>
      <c r="G1002" s="4">
        <v>122652.45</v>
      </c>
      <c r="H1002" s="4">
        <v>73799.91</v>
      </c>
      <c r="I1002" s="8">
        <v>0.15</v>
      </c>
      <c r="J1002" s="4">
        <v>48852.54</v>
      </c>
      <c r="K1002" s="4" t="str">
        <f t="shared" si="60"/>
        <v>October</v>
      </c>
      <c r="L1002">
        <f t="shared" si="61"/>
        <v>10</v>
      </c>
      <c r="M1002" s="9">
        <f t="shared" si="62"/>
        <v>0.39830056391046409</v>
      </c>
      <c r="N1002" s="9">
        <f t="shared" si="63"/>
        <v>1.1358240791387642E-3</v>
      </c>
    </row>
    <row r="1003" spans="1:14" x14ac:dyDescent="0.35">
      <c r="A1003" s="6">
        <v>45158</v>
      </c>
      <c r="B1003" t="s">
        <v>11</v>
      </c>
      <c r="C1003" t="s">
        <v>18</v>
      </c>
      <c r="D1003" t="s">
        <v>27</v>
      </c>
      <c r="E1003" t="s">
        <v>31</v>
      </c>
      <c r="F1003" s="4">
        <v>3</v>
      </c>
      <c r="G1003" s="4">
        <v>73658.25</v>
      </c>
      <c r="H1003" s="4">
        <v>53038.559999999998</v>
      </c>
      <c r="I1003" s="8">
        <v>0.05</v>
      </c>
      <c r="J1003" s="4">
        <v>20619.689999999999</v>
      </c>
      <c r="K1003" s="4" t="str">
        <f t="shared" si="60"/>
        <v>August</v>
      </c>
      <c r="L1003">
        <f t="shared" si="61"/>
        <v>8</v>
      </c>
      <c r="M1003" s="9">
        <f t="shared" si="62"/>
        <v>0.27993727790166067</v>
      </c>
      <c r="N1003" s="9">
        <f t="shared" si="63"/>
        <v>6.8211286425361151E-4</v>
      </c>
    </row>
    <row r="1004" spans="1:14" x14ac:dyDescent="0.35">
      <c r="A1004" s="6">
        <v>45249</v>
      </c>
      <c r="B1004" t="s">
        <v>10</v>
      </c>
      <c r="C1004" t="s">
        <v>14</v>
      </c>
      <c r="D1004" t="s">
        <v>25</v>
      </c>
      <c r="E1004" t="s">
        <v>32</v>
      </c>
      <c r="F1004" s="4">
        <v>6</v>
      </c>
      <c r="G1004" s="4">
        <v>75186</v>
      </c>
      <c r="H1004" s="4">
        <v>41944.63</v>
      </c>
      <c r="I1004" s="8">
        <v>0</v>
      </c>
      <c r="J1004" s="4">
        <v>33241.370000000003</v>
      </c>
      <c r="K1004" s="4" t="str">
        <f t="shared" si="60"/>
        <v>November</v>
      </c>
      <c r="L1004">
        <f t="shared" si="61"/>
        <v>11</v>
      </c>
      <c r="M1004" s="9">
        <f t="shared" si="62"/>
        <v>0.44212180459128031</v>
      </c>
      <c r="N1004" s="9">
        <f t="shared" si="63"/>
        <v>6.9626060640555585E-4</v>
      </c>
    </row>
    <row r="1005" spans="1:14" x14ac:dyDescent="0.35">
      <c r="A1005" s="6">
        <v>45209</v>
      </c>
      <c r="B1005" t="s">
        <v>10</v>
      </c>
      <c r="C1005" t="s">
        <v>19</v>
      </c>
      <c r="D1005" t="s">
        <v>28</v>
      </c>
      <c r="E1005" t="s">
        <v>39</v>
      </c>
      <c r="F1005" s="4">
        <v>6</v>
      </c>
      <c r="G1005" s="4">
        <v>39676.800000000003</v>
      </c>
      <c r="H1005" s="4">
        <v>29866.07</v>
      </c>
      <c r="I1005" s="8">
        <v>0.2</v>
      </c>
      <c r="J1005" s="4">
        <v>9810.73</v>
      </c>
      <c r="K1005" s="4" t="str">
        <f t="shared" si="60"/>
        <v>October</v>
      </c>
      <c r="L1005">
        <f t="shared" si="61"/>
        <v>10</v>
      </c>
      <c r="M1005" s="9">
        <f t="shared" si="62"/>
        <v>0.24726616057746589</v>
      </c>
      <c r="N1005" s="9">
        <f t="shared" si="63"/>
        <v>3.6742735121208684E-4</v>
      </c>
    </row>
    <row r="1006" spans="1:14" x14ac:dyDescent="0.35">
      <c r="A1006" s="6">
        <v>45053</v>
      </c>
      <c r="B1006" t="s">
        <v>10</v>
      </c>
      <c r="C1006" t="s">
        <v>22</v>
      </c>
      <c r="D1006" t="s">
        <v>28</v>
      </c>
      <c r="E1006" t="s">
        <v>42</v>
      </c>
      <c r="F1006" s="4">
        <v>4</v>
      </c>
      <c r="G1006" s="4">
        <v>86465.4</v>
      </c>
      <c r="H1006" s="4">
        <v>66957.34</v>
      </c>
      <c r="I1006" s="8">
        <v>0.15</v>
      </c>
      <c r="J1006" s="4">
        <v>19508.060000000001</v>
      </c>
      <c r="K1006" s="4" t="str">
        <f t="shared" si="60"/>
        <v>May</v>
      </c>
      <c r="L1006">
        <f t="shared" si="61"/>
        <v>5</v>
      </c>
      <c r="M1006" s="9">
        <f t="shared" si="62"/>
        <v>0.22561695198310541</v>
      </c>
      <c r="N1006" s="9">
        <f t="shared" si="63"/>
        <v>8.0071358812942503E-4</v>
      </c>
    </row>
    <row r="1007" spans="1:14" x14ac:dyDescent="0.35">
      <c r="A1007" s="6">
        <v>45228</v>
      </c>
      <c r="B1007" t="s">
        <v>9</v>
      </c>
      <c r="C1007" t="s">
        <v>20</v>
      </c>
      <c r="D1007" t="s">
        <v>26</v>
      </c>
      <c r="E1007" t="s">
        <v>35</v>
      </c>
      <c r="F1007" s="4">
        <v>4</v>
      </c>
      <c r="G1007" s="4">
        <v>72114</v>
      </c>
      <c r="H1007" s="4">
        <v>43576.75</v>
      </c>
      <c r="I1007" s="8">
        <v>0.15</v>
      </c>
      <c r="J1007" s="4">
        <v>28537.25</v>
      </c>
      <c r="K1007" s="4" t="str">
        <f t="shared" si="60"/>
        <v>October</v>
      </c>
      <c r="L1007">
        <f t="shared" si="61"/>
        <v>10</v>
      </c>
      <c r="M1007" s="9">
        <f t="shared" si="62"/>
        <v>0.39572413123665307</v>
      </c>
      <c r="N1007" s="9">
        <f t="shared" si="63"/>
        <v>6.6781232370827356E-4</v>
      </c>
    </row>
    <row r="1008" spans="1:14" x14ac:dyDescent="0.35">
      <c r="A1008" s="6">
        <v>45273</v>
      </c>
      <c r="B1008" t="s">
        <v>10</v>
      </c>
      <c r="C1008" t="s">
        <v>22</v>
      </c>
      <c r="D1008" t="s">
        <v>28</v>
      </c>
      <c r="E1008" t="s">
        <v>39</v>
      </c>
      <c r="F1008" s="4">
        <v>1</v>
      </c>
      <c r="G1008" s="4">
        <v>16192.8</v>
      </c>
      <c r="H1008" s="4">
        <v>9646.43</v>
      </c>
      <c r="I1008" s="8">
        <v>0.1</v>
      </c>
      <c r="J1008" s="4">
        <v>6546.37</v>
      </c>
      <c r="K1008" s="4" t="str">
        <f t="shared" si="60"/>
        <v>December</v>
      </c>
      <c r="L1008">
        <f t="shared" si="61"/>
        <v>12</v>
      </c>
      <c r="M1008" s="9">
        <f t="shared" si="62"/>
        <v>0.4042765920656094</v>
      </c>
      <c r="N1008" s="9">
        <f t="shared" si="63"/>
        <v>1.4995356512387793E-4</v>
      </c>
    </row>
    <row r="1009" spans="1:14" x14ac:dyDescent="0.35">
      <c r="A1009" s="6">
        <v>44957</v>
      </c>
      <c r="B1009" t="s">
        <v>12</v>
      </c>
      <c r="C1009" t="s">
        <v>24</v>
      </c>
      <c r="D1009" t="s">
        <v>26</v>
      </c>
      <c r="E1009" t="s">
        <v>35</v>
      </c>
      <c r="F1009" s="4">
        <v>1</v>
      </c>
      <c r="G1009" s="4">
        <v>29556</v>
      </c>
      <c r="H1009" s="4">
        <v>23518.15</v>
      </c>
      <c r="I1009" s="8">
        <v>0.2</v>
      </c>
      <c r="J1009" s="4">
        <v>6037.85</v>
      </c>
      <c r="K1009" s="4" t="str">
        <f t="shared" si="60"/>
        <v>January</v>
      </c>
      <c r="L1009">
        <f t="shared" si="61"/>
        <v>1</v>
      </c>
      <c r="M1009" s="9">
        <f t="shared" si="62"/>
        <v>0.20428508593855732</v>
      </c>
      <c r="N1009" s="9">
        <f t="shared" si="63"/>
        <v>2.7370359485705595E-4</v>
      </c>
    </row>
    <row r="1010" spans="1:14" x14ac:dyDescent="0.35">
      <c r="A1010" s="6">
        <v>44947</v>
      </c>
      <c r="B1010" t="s">
        <v>9</v>
      </c>
      <c r="C1010" t="s">
        <v>15</v>
      </c>
      <c r="D1010" t="s">
        <v>27</v>
      </c>
      <c r="E1010" t="s">
        <v>41</v>
      </c>
      <c r="F1010" s="4">
        <v>1</v>
      </c>
      <c r="G1010" s="4">
        <v>3121.7</v>
      </c>
      <c r="H1010" s="4">
        <v>2236.66</v>
      </c>
      <c r="I1010" s="8">
        <v>0.05</v>
      </c>
      <c r="J1010" s="4">
        <v>885.04</v>
      </c>
      <c r="K1010" s="4" t="str">
        <f t="shared" si="60"/>
        <v>January</v>
      </c>
      <c r="L1010">
        <f t="shared" si="61"/>
        <v>1</v>
      </c>
      <c r="M1010" s="9">
        <f t="shared" si="62"/>
        <v>0.28351218887144825</v>
      </c>
      <c r="N1010" s="9">
        <f t="shared" si="63"/>
        <v>2.8908529979201229E-5</v>
      </c>
    </row>
    <row r="1011" spans="1:14" x14ac:dyDescent="0.35">
      <c r="A1011" s="6">
        <v>44951</v>
      </c>
      <c r="B1011" t="s">
        <v>10</v>
      </c>
      <c r="C1011" t="s">
        <v>14</v>
      </c>
      <c r="D1011" t="s">
        <v>26</v>
      </c>
      <c r="E1011" t="s">
        <v>43</v>
      </c>
      <c r="F1011" s="4">
        <v>5</v>
      </c>
      <c r="G1011" s="4">
        <v>120860</v>
      </c>
      <c r="H1011" s="4">
        <v>68654.92</v>
      </c>
      <c r="I1011" s="8">
        <v>0.2</v>
      </c>
      <c r="J1011" s="4">
        <v>52205.08</v>
      </c>
      <c r="K1011" s="4" t="str">
        <f t="shared" si="60"/>
        <v>January</v>
      </c>
      <c r="L1011">
        <f t="shared" si="61"/>
        <v>1</v>
      </c>
      <c r="M1011" s="9">
        <f t="shared" si="62"/>
        <v>0.4319467152076783</v>
      </c>
      <c r="N1011" s="9">
        <f t="shared" si="63"/>
        <v>1.1192250803364388E-3</v>
      </c>
    </row>
    <row r="1012" spans="1:14" x14ac:dyDescent="0.35">
      <c r="A1012" s="6">
        <v>44927</v>
      </c>
      <c r="B1012" t="s">
        <v>10</v>
      </c>
      <c r="C1012" t="s">
        <v>14</v>
      </c>
      <c r="D1012" t="s">
        <v>26</v>
      </c>
      <c r="E1012" t="s">
        <v>34</v>
      </c>
      <c r="F1012" s="4">
        <v>6</v>
      </c>
      <c r="G1012" s="4">
        <v>62376</v>
      </c>
      <c r="H1012" s="4">
        <v>47081.94</v>
      </c>
      <c r="I1012" s="8">
        <v>0</v>
      </c>
      <c r="J1012" s="4">
        <v>15294.06</v>
      </c>
      <c r="K1012" s="4" t="str">
        <f t="shared" si="60"/>
        <v>January</v>
      </c>
      <c r="L1012">
        <f t="shared" si="61"/>
        <v>1</v>
      </c>
      <c r="M1012" s="9">
        <f t="shared" si="62"/>
        <v>0.24519141977683723</v>
      </c>
      <c r="N1012" s="9">
        <f t="shared" si="63"/>
        <v>5.7763349007997435E-4</v>
      </c>
    </row>
    <row r="1013" spans="1:14" x14ac:dyDescent="0.35">
      <c r="A1013" s="6">
        <v>45217</v>
      </c>
      <c r="B1013" t="s">
        <v>9</v>
      </c>
      <c r="C1013" t="s">
        <v>13</v>
      </c>
      <c r="D1013" t="s">
        <v>27</v>
      </c>
      <c r="E1013" t="s">
        <v>40</v>
      </c>
      <c r="F1013" s="4">
        <v>4</v>
      </c>
      <c r="G1013" s="4">
        <v>98444</v>
      </c>
      <c r="H1013" s="4">
        <v>56206.38</v>
      </c>
      <c r="I1013" s="8">
        <v>0</v>
      </c>
      <c r="J1013" s="4">
        <v>42237.62</v>
      </c>
      <c r="K1013" s="4" t="str">
        <f t="shared" si="60"/>
        <v>October</v>
      </c>
      <c r="L1013">
        <f t="shared" si="61"/>
        <v>10</v>
      </c>
      <c r="M1013" s="9">
        <f t="shared" si="62"/>
        <v>0.42905225305757588</v>
      </c>
      <c r="N1013" s="9">
        <f t="shared" si="63"/>
        <v>9.1164151752970695E-4</v>
      </c>
    </row>
    <row r="1014" spans="1:14" x14ac:dyDescent="0.35">
      <c r="A1014" s="6">
        <v>45235</v>
      </c>
      <c r="B1014" t="s">
        <v>11</v>
      </c>
      <c r="C1014" t="s">
        <v>18</v>
      </c>
      <c r="D1014" t="s">
        <v>27</v>
      </c>
      <c r="E1014" t="s">
        <v>41</v>
      </c>
      <c r="F1014" s="4">
        <v>6</v>
      </c>
      <c r="G1014" s="4">
        <v>237590.39999999999</v>
      </c>
      <c r="H1014" s="4">
        <v>132536.4</v>
      </c>
      <c r="I1014" s="8">
        <v>0.2</v>
      </c>
      <c r="J1014" s="4">
        <v>105054</v>
      </c>
      <c r="K1014" s="4" t="str">
        <f t="shared" si="60"/>
        <v>November</v>
      </c>
      <c r="L1014">
        <f t="shared" si="61"/>
        <v>11</v>
      </c>
      <c r="M1014" s="9">
        <f t="shared" si="62"/>
        <v>0.44216432987191401</v>
      </c>
      <c r="N1014" s="9">
        <f t="shared" si="63"/>
        <v>2.2002079639844995E-3</v>
      </c>
    </row>
    <row r="1015" spans="1:14" x14ac:dyDescent="0.35">
      <c r="A1015" s="6">
        <v>44942</v>
      </c>
      <c r="B1015" t="s">
        <v>11</v>
      </c>
      <c r="C1015" t="s">
        <v>17</v>
      </c>
      <c r="D1015" t="s">
        <v>27</v>
      </c>
      <c r="E1015" t="s">
        <v>31</v>
      </c>
      <c r="F1015" s="4">
        <v>6</v>
      </c>
      <c r="G1015" s="4">
        <v>278091.59999999998</v>
      </c>
      <c r="H1015" s="4">
        <v>199479.67999999999</v>
      </c>
      <c r="I1015" s="8">
        <v>0.05</v>
      </c>
      <c r="J1015" s="4">
        <v>78611.92</v>
      </c>
      <c r="K1015" s="4" t="str">
        <f t="shared" si="60"/>
        <v>January</v>
      </c>
      <c r="L1015">
        <f t="shared" si="61"/>
        <v>1</v>
      </c>
      <c r="M1015" s="9">
        <f t="shared" si="62"/>
        <v>0.28268354743544932</v>
      </c>
      <c r="N1015" s="9">
        <f t="shared" si="63"/>
        <v>2.5752696785610522E-3</v>
      </c>
    </row>
    <row r="1016" spans="1:14" x14ac:dyDescent="0.35">
      <c r="A1016" s="6">
        <v>45104</v>
      </c>
      <c r="B1016" t="s">
        <v>10</v>
      </c>
      <c r="C1016" t="s">
        <v>14</v>
      </c>
      <c r="D1016" t="s">
        <v>27</v>
      </c>
      <c r="E1016" t="s">
        <v>41</v>
      </c>
      <c r="F1016" s="4">
        <v>7</v>
      </c>
      <c r="G1016" s="4">
        <v>134493.79999999999</v>
      </c>
      <c r="H1016" s="4">
        <v>78305.740000000005</v>
      </c>
      <c r="I1016" s="8">
        <v>0.15</v>
      </c>
      <c r="J1016" s="4">
        <v>56188.06</v>
      </c>
      <c r="K1016" s="4" t="str">
        <f t="shared" si="60"/>
        <v>June</v>
      </c>
      <c r="L1016">
        <f t="shared" si="61"/>
        <v>6</v>
      </c>
      <c r="M1016" s="9">
        <f t="shared" si="62"/>
        <v>0.41777435093662313</v>
      </c>
      <c r="N1016" s="9">
        <f t="shared" si="63"/>
        <v>1.2454810037212719E-3</v>
      </c>
    </row>
    <row r="1017" spans="1:14" x14ac:dyDescent="0.35">
      <c r="A1017" s="6">
        <v>45140</v>
      </c>
      <c r="B1017" t="s">
        <v>12</v>
      </c>
      <c r="C1017" t="s">
        <v>21</v>
      </c>
      <c r="D1017" t="s">
        <v>26</v>
      </c>
      <c r="E1017" t="s">
        <v>34</v>
      </c>
      <c r="F1017" s="4">
        <v>7</v>
      </c>
      <c r="G1017" s="4">
        <v>66465</v>
      </c>
      <c r="H1017" s="4">
        <v>47176.89</v>
      </c>
      <c r="I1017" s="8">
        <v>0</v>
      </c>
      <c r="J1017" s="4">
        <v>19288.11</v>
      </c>
      <c r="K1017" s="4" t="str">
        <f t="shared" si="60"/>
        <v>August</v>
      </c>
      <c r="L1017">
        <f t="shared" si="61"/>
        <v>8</v>
      </c>
      <c r="M1017" s="9">
        <f t="shared" si="62"/>
        <v>0.29019950349808171</v>
      </c>
      <c r="N1017" s="9">
        <f t="shared" si="63"/>
        <v>6.154997101155171E-4</v>
      </c>
    </row>
    <row r="1018" spans="1:14" x14ac:dyDescent="0.35">
      <c r="A1018" s="6">
        <v>45016</v>
      </c>
      <c r="B1018" t="s">
        <v>11</v>
      </c>
      <c r="C1018" t="s">
        <v>16</v>
      </c>
      <c r="D1018" t="s">
        <v>28</v>
      </c>
      <c r="E1018" t="s">
        <v>44</v>
      </c>
      <c r="F1018" s="4">
        <v>2</v>
      </c>
      <c r="G1018" s="4">
        <v>11255.6</v>
      </c>
      <c r="H1018" s="4">
        <v>8629.09</v>
      </c>
      <c r="I1018" s="8">
        <v>0.05</v>
      </c>
      <c r="J1018" s="4">
        <v>2626.51</v>
      </c>
      <c r="K1018" s="4" t="str">
        <f t="shared" si="60"/>
        <v>March</v>
      </c>
      <c r="L1018">
        <f t="shared" si="61"/>
        <v>3</v>
      </c>
      <c r="M1018" s="9">
        <f t="shared" si="62"/>
        <v>0.23335139841501121</v>
      </c>
      <c r="N1018" s="9">
        <f t="shared" si="63"/>
        <v>1.0423258161703475E-4</v>
      </c>
    </row>
    <row r="1019" spans="1:14" x14ac:dyDescent="0.35">
      <c r="A1019" s="6">
        <v>45215</v>
      </c>
      <c r="B1019" t="s">
        <v>12</v>
      </c>
      <c r="C1019" t="s">
        <v>21</v>
      </c>
      <c r="D1019" t="s">
        <v>26</v>
      </c>
      <c r="E1019" t="s">
        <v>35</v>
      </c>
      <c r="F1019" s="4">
        <v>2</v>
      </c>
      <c r="G1019" s="4">
        <v>36070.400000000001</v>
      </c>
      <c r="H1019" s="4">
        <v>20792.75</v>
      </c>
      <c r="I1019" s="8">
        <v>0.2</v>
      </c>
      <c r="J1019" s="4">
        <v>15277.65</v>
      </c>
      <c r="K1019" s="4" t="str">
        <f t="shared" si="60"/>
        <v>October</v>
      </c>
      <c r="L1019">
        <f t="shared" si="61"/>
        <v>10</v>
      </c>
      <c r="M1019" s="9">
        <f t="shared" si="62"/>
        <v>0.42355088937189495</v>
      </c>
      <c r="N1019" s="9">
        <f t="shared" si="63"/>
        <v>3.3403025267058977E-4</v>
      </c>
    </row>
    <row r="1020" spans="1:14" x14ac:dyDescent="0.35">
      <c r="A1020" s="6">
        <v>45019</v>
      </c>
      <c r="B1020" t="s">
        <v>12</v>
      </c>
      <c r="C1020" t="s">
        <v>23</v>
      </c>
      <c r="D1020" t="s">
        <v>27</v>
      </c>
      <c r="E1020" t="s">
        <v>40</v>
      </c>
      <c r="F1020" s="4">
        <v>1</v>
      </c>
      <c r="G1020" s="4">
        <v>28126</v>
      </c>
      <c r="H1020" s="4">
        <v>17991.689999999999</v>
      </c>
      <c r="I1020" s="8">
        <v>0</v>
      </c>
      <c r="J1020" s="4">
        <v>10134.31</v>
      </c>
      <c r="K1020" s="4" t="str">
        <f t="shared" si="60"/>
        <v>April</v>
      </c>
      <c r="L1020">
        <f t="shared" si="61"/>
        <v>4</v>
      </c>
      <c r="M1020" s="9">
        <f t="shared" si="62"/>
        <v>0.3603182109080566</v>
      </c>
      <c r="N1020" s="9">
        <f t="shared" si="63"/>
        <v>2.604610674296101E-4</v>
      </c>
    </row>
    <row r="1021" spans="1:14" x14ac:dyDescent="0.35">
      <c r="A1021" s="6">
        <v>45164</v>
      </c>
      <c r="B1021" t="s">
        <v>11</v>
      </c>
      <c r="C1021" t="s">
        <v>18</v>
      </c>
      <c r="D1021" t="s">
        <v>25</v>
      </c>
      <c r="E1021" t="s">
        <v>33</v>
      </c>
      <c r="F1021" s="4">
        <v>7</v>
      </c>
      <c r="G1021" s="4">
        <v>217431.2</v>
      </c>
      <c r="H1021" s="4">
        <v>163370.54</v>
      </c>
      <c r="I1021" s="8">
        <v>0.2</v>
      </c>
      <c r="J1021" s="4">
        <v>54060.66</v>
      </c>
      <c r="K1021" s="4" t="str">
        <f t="shared" si="60"/>
        <v>August</v>
      </c>
      <c r="L1021">
        <f t="shared" si="61"/>
        <v>8</v>
      </c>
      <c r="M1021" s="9">
        <f t="shared" si="62"/>
        <v>0.24863340679718457</v>
      </c>
      <c r="N1021" s="9">
        <f t="shared" si="63"/>
        <v>2.0135235171905371E-3</v>
      </c>
    </row>
    <row r="1022" spans="1:14" x14ac:dyDescent="0.35">
      <c r="A1022" s="6">
        <v>44945</v>
      </c>
      <c r="B1022" t="s">
        <v>12</v>
      </c>
      <c r="C1022" t="s">
        <v>21</v>
      </c>
      <c r="D1022" t="s">
        <v>26</v>
      </c>
      <c r="E1022" t="s">
        <v>34</v>
      </c>
      <c r="F1022" s="4">
        <v>1</v>
      </c>
      <c r="G1022" s="4">
        <v>7696</v>
      </c>
      <c r="H1022" s="4">
        <v>5629.74</v>
      </c>
      <c r="I1022" s="8">
        <v>0.2</v>
      </c>
      <c r="J1022" s="4">
        <v>2066.2600000000002</v>
      </c>
      <c r="K1022" s="4" t="str">
        <f t="shared" si="60"/>
        <v>January</v>
      </c>
      <c r="L1022">
        <f t="shared" si="61"/>
        <v>1</v>
      </c>
      <c r="M1022" s="9">
        <f t="shared" si="62"/>
        <v>0.26848492723492728</v>
      </c>
      <c r="N1022" s="9">
        <f t="shared" si="63"/>
        <v>7.1268874882254122E-5</v>
      </c>
    </row>
    <row r="1023" spans="1:14" x14ac:dyDescent="0.35">
      <c r="A1023" s="6">
        <v>45256</v>
      </c>
      <c r="B1023" t="s">
        <v>9</v>
      </c>
      <c r="C1023" t="s">
        <v>20</v>
      </c>
      <c r="D1023" t="s">
        <v>25</v>
      </c>
      <c r="E1023" t="s">
        <v>37</v>
      </c>
      <c r="F1023" s="4">
        <v>5</v>
      </c>
      <c r="G1023" s="4">
        <v>117593.25</v>
      </c>
      <c r="H1023" s="4">
        <v>81064.11</v>
      </c>
      <c r="I1023" s="8">
        <v>0.15</v>
      </c>
      <c r="J1023" s="4">
        <v>36529.14</v>
      </c>
      <c r="K1023" s="4" t="str">
        <f t="shared" si="60"/>
        <v>November</v>
      </c>
      <c r="L1023">
        <f t="shared" si="61"/>
        <v>11</v>
      </c>
      <c r="M1023" s="9">
        <f t="shared" si="62"/>
        <v>0.31063976886428429</v>
      </c>
      <c r="N1023" s="9">
        <f t="shared" si="63"/>
        <v>1.0889733135716773E-3</v>
      </c>
    </row>
    <row r="1024" spans="1:14" x14ac:dyDescent="0.35">
      <c r="A1024" s="6">
        <v>45006</v>
      </c>
      <c r="B1024" t="s">
        <v>10</v>
      </c>
      <c r="C1024" t="s">
        <v>14</v>
      </c>
      <c r="D1024" t="s">
        <v>25</v>
      </c>
      <c r="E1024" t="s">
        <v>29</v>
      </c>
      <c r="F1024" s="4">
        <v>2</v>
      </c>
      <c r="G1024" s="4">
        <v>40832</v>
      </c>
      <c r="H1024" s="4">
        <v>27024.15</v>
      </c>
      <c r="I1024" s="8">
        <v>0.2</v>
      </c>
      <c r="J1024" s="4">
        <v>13807.85</v>
      </c>
      <c r="K1024" s="4" t="str">
        <f t="shared" si="60"/>
        <v>March</v>
      </c>
      <c r="L1024">
        <f t="shared" si="61"/>
        <v>3</v>
      </c>
      <c r="M1024" s="9">
        <f t="shared" si="62"/>
        <v>0.33816247061128529</v>
      </c>
      <c r="N1024" s="9">
        <f t="shared" si="63"/>
        <v>3.7812509085137735E-4</v>
      </c>
    </row>
    <row r="1025" spans="1:14" x14ac:dyDescent="0.35">
      <c r="A1025" s="6">
        <v>45104</v>
      </c>
      <c r="B1025" t="s">
        <v>9</v>
      </c>
      <c r="C1025" t="s">
        <v>15</v>
      </c>
      <c r="D1025" t="s">
        <v>28</v>
      </c>
      <c r="E1025" t="s">
        <v>44</v>
      </c>
      <c r="F1025" s="4">
        <v>6</v>
      </c>
      <c r="G1025" s="4">
        <v>160353</v>
      </c>
      <c r="H1025" s="4">
        <v>106125.73</v>
      </c>
      <c r="I1025" s="8">
        <v>0.1</v>
      </c>
      <c r="J1025" s="4">
        <v>54227.27</v>
      </c>
      <c r="K1025" s="4" t="str">
        <f t="shared" si="60"/>
        <v>June</v>
      </c>
      <c r="L1025">
        <f t="shared" si="61"/>
        <v>6</v>
      </c>
      <c r="M1025" s="9">
        <f t="shared" si="62"/>
        <v>0.33817434036157723</v>
      </c>
      <c r="N1025" s="9">
        <f t="shared" si="63"/>
        <v>1.4849503500512077E-3</v>
      </c>
    </row>
    <row r="1026" spans="1:14" x14ac:dyDescent="0.35">
      <c r="A1026" s="6">
        <v>44992</v>
      </c>
      <c r="B1026" t="s">
        <v>9</v>
      </c>
      <c r="C1026" t="s">
        <v>13</v>
      </c>
      <c r="D1026" t="s">
        <v>26</v>
      </c>
      <c r="E1026" t="s">
        <v>43</v>
      </c>
      <c r="F1026" s="4">
        <v>6</v>
      </c>
      <c r="G1026" s="4">
        <v>24597</v>
      </c>
      <c r="H1026" s="4">
        <v>18198.830000000002</v>
      </c>
      <c r="I1026" s="8">
        <v>0.1</v>
      </c>
      <c r="J1026" s="4">
        <v>6398.17</v>
      </c>
      <c r="K1026" s="4" t="str">
        <f t="shared" si="60"/>
        <v>March</v>
      </c>
      <c r="L1026">
        <f t="shared" si="61"/>
        <v>3</v>
      </c>
      <c r="M1026" s="9">
        <f t="shared" si="62"/>
        <v>0.26011993332520228</v>
      </c>
      <c r="N1026" s="9">
        <f t="shared" si="63"/>
        <v>2.2778073226075942E-4</v>
      </c>
    </row>
    <row r="1027" spans="1:14" x14ac:dyDescent="0.35">
      <c r="A1027" s="6">
        <v>45027</v>
      </c>
      <c r="B1027" t="s">
        <v>12</v>
      </c>
      <c r="C1027" t="s">
        <v>23</v>
      </c>
      <c r="D1027" t="s">
        <v>27</v>
      </c>
      <c r="E1027" t="s">
        <v>41</v>
      </c>
      <c r="F1027" s="4">
        <v>3</v>
      </c>
      <c r="G1027" s="4">
        <v>81237</v>
      </c>
      <c r="H1027" s="4">
        <v>59359.24</v>
      </c>
      <c r="I1027" s="8">
        <v>0</v>
      </c>
      <c r="J1027" s="4">
        <v>21877.759999999998</v>
      </c>
      <c r="K1027" s="4" t="str">
        <f t="shared" ref="K1027:K1090" si="64">TEXT(A1027,"mmmm")</f>
        <v>April</v>
      </c>
      <c r="L1027">
        <f t="shared" ref="L1027:L1090" si="65">MONTH(A1027)</f>
        <v>4</v>
      </c>
      <c r="M1027" s="9">
        <f t="shared" ref="M1027:M1090" si="66">J1027/G1027</f>
        <v>0.26930782771397266</v>
      </c>
      <c r="N1027" s="9">
        <f t="shared" ref="N1027:N1090" si="67">G1027/SUM(G:G)</f>
        <v>7.5229594449190205E-4</v>
      </c>
    </row>
    <row r="1028" spans="1:14" x14ac:dyDescent="0.35">
      <c r="A1028" s="6">
        <v>45108</v>
      </c>
      <c r="B1028" t="s">
        <v>10</v>
      </c>
      <c r="C1028" t="s">
        <v>14</v>
      </c>
      <c r="D1028" t="s">
        <v>28</v>
      </c>
      <c r="E1028" t="s">
        <v>42</v>
      </c>
      <c r="F1028" s="4">
        <v>7</v>
      </c>
      <c r="G1028" s="4">
        <v>277278.40000000002</v>
      </c>
      <c r="H1028" s="4">
        <v>209227.38</v>
      </c>
      <c r="I1028" s="8">
        <v>0.05</v>
      </c>
      <c r="J1028" s="4">
        <v>68051.02</v>
      </c>
      <c r="K1028" s="4" t="str">
        <f t="shared" si="64"/>
        <v>July</v>
      </c>
      <c r="L1028">
        <f t="shared" si="65"/>
        <v>7</v>
      </c>
      <c r="M1028" s="9">
        <f t="shared" si="66"/>
        <v>0.2454248870449339</v>
      </c>
      <c r="N1028" s="9">
        <f t="shared" si="67"/>
        <v>2.5677390328939205E-3</v>
      </c>
    </row>
    <row r="1029" spans="1:14" x14ac:dyDescent="0.35">
      <c r="A1029" s="6">
        <v>45032</v>
      </c>
      <c r="B1029" t="s">
        <v>9</v>
      </c>
      <c r="C1029" t="s">
        <v>20</v>
      </c>
      <c r="D1029" t="s">
        <v>25</v>
      </c>
      <c r="E1029" t="s">
        <v>32</v>
      </c>
      <c r="F1029" s="4">
        <v>7</v>
      </c>
      <c r="G1029" s="4">
        <v>312549.3</v>
      </c>
      <c r="H1029" s="4">
        <v>242687.63</v>
      </c>
      <c r="I1029" s="8">
        <v>0.1</v>
      </c>
      <c r="J1029" s="4">
        <v>69861.67</v>
      </c>
      <c r="K1029" s="4" t="str">
        <f t="shared" si="64"/>
        <v>April</v>
      </c>
      <c r="L1029">
        <f t="shared" si="65"/>
        <v>4</v>
      </c>
      <c r="M1029" s="9">
        <f t="shared" si="66"/>
        <v>0.22352208115647676</v>
      </c>
      <c r="N1029" s="9">
        <f t="shared" si="67"/>
        <v>2.894365508866438E-3</v>
      </c>
    </row>
    <row r="1030" spans="1:14" x14ac:dyDescent="0.35">
      <c r="A1030" s="6">
        <v>45273</v>
      </c>
      <c r="B1030" t="s">
        <v>11</v>
      </c>
      <c r="C1030" t="s">
        <v>16</v>
      </c>
      <c r="D1030" t="s">
        <v>28</v>
      </c>
      <c r="E1030" t="s">
        <v>44</v>
      </c>
      <c r="F1030" s="4">
        <v>4</v>
      </c>
      <c r="G1030" s="4">
        <v>12841.6</v>
      </c>
      <c r="H1030" s="4">
        <v>8935.43</v>
      </c>
      <c r="I1030" s="8">
        <v>0.2</v>
      </c>
      <c r="J1030" s="4">
        <v>3906.17</v>
      </c>
      <c r="K1030" s="4" t="str">
        <f t="shared" si="64"/>
        <v>December</v>
      </c>
      <c r="L1030">
        <f t="shared" si="65"/>
        <v>12</v>
      </c>
      <c r="M1030" s="9">
        <f t="shared" si="66"/>
        <v>0.30418094318464989</v>
      </c>
      <c r="N1030" s="9">
        <f t="shared" si="67"/>
        <v>1.1891974840020199E-4</v>
      </c>
    </row>
    <row r="1031" spans="1:14" x14ac:dyDescent="0.35">
      <c r="A1031" s="6">
        <v>45153</v>
      </c>
      <c r="B1031" t="s">
        <v>12</v>
      </c>
      <c r="C1031" t="s">
        <v>21</v>
      </c>
      <c r="D1031" t="s">
        <v>26</v>
      </c>
      <c r="E1031" t="s">
        <v>30</v>
      </c>
      <c r="F1031" s="4">
        <v>2</v>
      </c>
      <c r="G1031" s="4">
        <v>53549.599999999999</v>
      </c>
      <c r="H1031" s="4">
        <v>36059.550000000003</v>
      </c>
      <c r="I1031" s="8">
        <v>0.05</v>
      </c>
      <c r="J1031" s="4">
        <v>17490.05</v>
      </c>
      <c r="K1031" s="4" t="str">
        <f t="shared" si="64"/>
        <v>August</v>
      </c>
      <c r="L1031">
        <f t="shared" si="65"/>
        <v>8</v>
      </c>
      <c r="M1031" s="9">
        <f t="shared" si="66"/>
        <v>0.32661401765839521</v>
      </c>
      <c r="N1031" s="9">
        <f t="shared" si="67"/>
        <v>4.9589653617395464E-4</v>
      </c>
    </row>
    <row r="1032" spans="1:14" x14ac:dyDescent="0.35">
      <c r="A1032" s="6">
        <v>45161</v>
      </c>
      <c r="B1032" t="s">
        <v>11</v>
      </c>
      <c r="C1032" t="s">
        <v>18</v>
      </c>
      <c r="D1032" t="s">
        <v>28</v>
      </c>
      <c r="E1032" t="s">
        <v>36</v>
      </c>
      <c r="F1032" s="4">
        <v>3</v>
      </c>
      <c r="G1032" s="4">
        <v>91893.6</v>
      </c>
      <c r="H1032" s="4">
        <v>53070.25</v>
      </c>
      <c r="I1032" s="8">
        <v>0.2</v>
      </c>
      <c r="J1032" s="4">
        <v>38823.35</v>
      </c>
      <c r="K1032" s="4" t="str">
        <f t="shared" si="64"/>
        <v>August</v>
      </c>
      <c r="L1032">
        <f t="shared" si="65"/>
        <v>8</v>
      </c>
      <c r="M1032" s="9">
        <f t="shared" si="66"/>
        <v>0.42248154387247855</v>
      </c>
      <c r="N1032" s="9">
        <f t="shared" si="67"/>
        <v>8.5098148140331435E-4</v>
      </c>
    </row>
    <row r="1033" spans="1:14" x14ac:dyDescent="0.35">
      <c r="A1033" s="6">
        <v>45027</v>
      </c>
      <c r="B1033" t="s">
        <v>9</v>
      </c>
      <c r="C1033" t="s">
        <v>15</v>
      </c>
      <c r="D1033" t="s">
        <v>25</v>
      </c>
      <c r="E1033" t="s">
        <v>33</v>
      </c>
      <c r="F1033" s="4">
        <v>7</v>
      </c>
      <c r="G1033" s="4">
        <v>171504.9</v>
      </c>
      <c r="H1033" s="4">
        <v>100813.34</v>
      </c>
      <c r="I1033" s="8">
        <v>0.1</v>
      </c>
      <c r="J1033" s="4">
        <v>70691.56</v>
      </c>
      <c r="K1033" s="4" t="str">
        <f t="shared" si="64"/>
        <v>April</v>
      </c>
      <c r="L1033">
        <f t="shared" si="65"/>
        <v>4</v>
      </c>
      <c r="M1033" s="9">
        <f t="shared" si="66"/>
        <v>0.41218390844809683</v>
      </c>
      <c r="N1033" s="9">
        <f t="shared" si="67"/>
        <v>1.5882226169170353E-3</v>
      </c>
    </row>
    <row r="1034" spans="1:14" x14ac:dyDescent="0.35">
      <c r="A1034" s="6">
        <v>45170</v>
      </c>
      <c r="B1034" t="s">
        <v>12</v>
      </c>
      <c r="C1034" t="s">
        <v>21</v>
      </c>
      <c r="D1034" t="s">
        <v>27</v>
      </c>
      <c r="E1034" t="s">
        <v>41</v>
      </c>
      <c r="F1034" s="4">
        <v>3</v>
      </c>
      <c r="G1034" s="4">
        <v>11214.75</v>
      </c>
      <c r="H1034" s="4">
        <v>7907.96</v>
      </c>
      <c r="I1034" s="8">
        <v>0.05</v>
      </c>
      <c r="J1034" s="4">
        <v>3306.79</v>
      </c>
      <c r="K1034" s="4" t="str">
        <f t="shared" si="64"/>
        <v>September</v>
      </c>
      <c r="L1034">
        <f t="shared" si="65"/>
        <v>9</v>
      </c>
      <c r="M1034" s="9">
        <f t="shared" si="66"/>
        <v>0.29486078601841326</v>
      </c>
      <c r="N1034" s="9">
        <f t="shared" si="67"/>
        <v>1.0385428983702695E-4</v>
      </c>
    </row>
    <row r="1035" spans="1:14" x14ac:dyDescent="0.35">
      <c r="A1035" s="6">
        <v>45120</v>
      </c>
      <c r="B1035" t="s">
        <v>11</v>
      </c>
      <c r="C1035" t="s">
        <v>18</v>
      </c>
      <c r="D1035" t="s">
        <v>28</v>
      </c>
      <c r="E1035" t="s">
        <v>36</v>
      </c>
      <c r="F1035" s="4">
        <v>7</v>
      </c>
      <c r="G1035" s="4">
        <v>221617.9</v>
      </c>
      <c r="H1035" s="4">
        <v>151411.96</v>
      </c>
      <c r="I1035" s="8">
        <v>0.05</v>
      </c>
      <c r="J1035" s="4">
        <v>70205.94</v>
      </c>
      <c r="K1035" s="4" t="str">
        <f t="shared" si="64"/>
        <v>July</v>
      </c>
      <c r="L1035">
        <f t="shared" si="65"/>
        <v>7</v>
      </c>
      <c r="M1035" s="9">
        <f t="shared" si="66"/>
        <v>0.31678821972412879</v>
      </c>
      <c r="N1035" s="9">
        <f t="shared" si="67"/>
        <v>2.0522944889251435E-3</v>
      </c>
    </row>
    <row r="1036" spans="1:14" x14ac:dyDescent="0.35">
      <c r="A1036" s="6">
        <v>45128</v>
      </c>
      <c r="B1036" t="s">
        <v>9</v>
      </c>
      <c r="C1036" t="s">
        <v>13</v>
      </c>
      <c r="D1036" t="s">
        <v>25</v>
      </c>
      <c r="E1036" t="s">
        <v>33</v>
      </c>
      <c r="F1036" s="4">
        <v>2</v>
      </c>
      <c r="G1036" s="4">
        <v>30128.3</v>
      </c>
      <c r="H1036" s="4">
        <v>16777.48</v>
      </c>
      <c r="I1036" s="8">
        <v>0.05</v>
      </c>
      <c r="J1036" s="4">
        <v>13350.82</v>
      </c>
      <c r="K1036" s="4" t="str">
        <f t="shared" si="64"/>
        <v>July</v>
      </c>
      <c r="L1036">
        <f t="shared" si="65"/>
        <v>7</v>
      </c>
      <c r="M1036" s="9">
        <f t="shared" si="66"/>
        <v>0.44313220460497271</v>
      </c>
      <c r="N1036" s="9">
        <f t="shared" si="67"/>
        <v>2.7900338398064144E-4</v>
      </c>
    </row>
    <row r="1037" spans="1:14" x14ac:dyDescent="0.35">
      <c r="A1037" s="6">
        <v>45004</v>
      </c>
      <c r="B1037" t="s">
        <v>9</v>
      </c>
      <c r="C1037" t="s">
        <v>13</v>
      </c>
      <c r="D1037" t="s">
        <v>25</v>
      </c>
      <c r="E1037" t="s">
        <v>29</v>
      </c>
      <c r="F1037" s="4">
        <v>7</v>
      </c>
      <c r="G1037" s="4">
        <v>166594.04999999999</v>
      </c>
      <c r="H1037" s="4">
        <v>98848.42</v>
      </c>
      <c r="I1037" s="8">
        <v>0.15</v>
      </c>
      <c r="J1037" s="4">
        <v>67745.63</v>
      </c>
      <c r="K1037" s="4" t="str">
        <f t="shared" si="64"/>
        <v>March</v>
      </c>
      <c r="L1037">
        <f t="shared" si="65"/>
        <v>3</v>
      </c>
      <c r="M1037" s="9">
        <f t="shared" si="66"/>
        <v>0.40665095782232324</v>
      </c>
      <c r="N1037" s="9">
        <f t="shared" si="67"/>
        <v>1.5427456478141874E-3</v>
      </c>
    </row>
    <row r="1038" spans="1:14" x14ac:dyDescent="0.35">
      <c r="A1038" s="6">
        <v>44974</v>
      </c>
      <c r="B1038" t="s">
        <v>11</v>
      </c>
      <c r="C1038" t="s">
        <v>17</v>
      </c>
      <c r="D1038" t="s">
        <v>25</v>
      </c>
      <c r="E1038" t="s">
        <v>33</v>
      </c>
      <c r="F1038" s="4">
        <v>5</v>
      </c>
      <c r="G1038" s="4">
        <v>149170.5</v>
      </c>
      <c r="H1038" s="4">
        <v>119173.02</v>
      </c>
      <c r="I1038" s="8">
        <v>0.1</v>
      </c>
      <c r="J1038" s="4">
        <v>29997.48</v>
      </c>
      <c r="K1038" s="4" t="str">
        <f t="shared" si="64"/>
        <v>February</v>
      </c>
      <c r="L1038">
        <f t="shared" si="65"/>
        <v>2</v>
      </c>
      <c r="M1038" s="9">
        <f t="shared" si="66"/>
        <v>0.20109525676993775</v>
      </c>
      <c r="N1038" s="9">
        <f t="shared" si="67"/>
        <v>1.3813947116194502E-3</v>
      </c>
    </row>
    <row r="1039" spans="1:14" x14ac:dyDescent="0.35">
      <c r="A1039" s="6">
        <v>45260</v>
      </c>
      <c r="B1039" t="s">
        <v>10</v>
      </c>
      <c r="C1039" t="s">
        <v>14</v>
      </c>
      <c r="D1039" t="s">
        <v>26</v>
      </c>
      <c r="E1039" t="s">
        <v>30</v>
      </c>
      <c r="F1039" s="4">
        <v>4</v>
      </c>
      <c r="G1039" s="4">
        <v>57785.599999999999</v>
      </c>
      <c r="H1039" s="4">
        <v>44621.27</v>
      </c>
      <c r="I1039" s="8">
        <v>0.2</v>
      </c>
      <c r="J1039" s="4">
        <v>13164.33</v>
      </c>
      <c r="K1039" s="4" t="str">
        <f t="shared" si="64"/>
        <v>November</v>
      </c>
      <c r="L1039">
        <f t="shared" si="65"/>
        <v>11</v>
      </c>
      <c r="M1039" s="9">
        <f t="shared" si="66"/>
        <v>0.22781333065677262</v>
      </c>
      <c r="N1039" s="9">
        <f t="shared" si="67"/>
        <v>5.3512405098700411E-4</v>
      </c>
    </row>
    <row r="1040" spans="1:14" x14ac:dyDescent="0.35">
      <c r="A1040" s="6">
        <v>45279</v>
      </c>
      <c r="B1040" t="s">
        <v>11</v>
      </c>
      <c r="C1040" t="s">
        <v>16</v>
      </c>
      <c r="D1040" t="s">
        <v>27</v>
      </c>
      <c r="E1040" t="s">
        <v>40</v>
      </c>
      <c r="F1040" s="4">
        <v>3</v>
      </c>
      <c r="G1040" s="4">
        <v>30931.200000000001</v>
      </c>
      <c r="H1040" s="4">
        <v>18111.62</v>
      </c>
      <c r="I1040" s="8">
        <v>0.2</v>
      </c>
      <c r="J1040" s="4">
        <v>12819.58</v>
      </c>
      <c r="K1040" s="4" t="str">
        <f t="shared" si="64"/>
        <v>December</v>
      </c>
      <c r="L1040">
        <f t="shared" si="65"/>
        <v>12</v>
      </c>
      <c r="M1040" s="9">
        <f t="shared" si="66"/>
        <v>0.41445466066625281</v>
      </c>
      <c r="N1040" s="9">
        <f t="shared" si="67"/>
        <v>2.8643864640826125E-4</v>
      </c>
    </row>
    <row r="1041" spans="1:14" x14ac:dyDescent="0.35">
      <c r="A1041" s="6">
        <v>45132</v>
      </c>
      <c r="B1041" t="s">
        <v>11</v>
      </c>
      <c r="C1041" t="s">
        <v>17</v>
      </c>
      <c r="D1041" t="s">
        <v>27</v>
      </c>
      <c r="E1041" t="s">
        <v>31</v>
      </c>
      <c r="F1041" s="4">
        <v>1</v>
      </c>
      <c r="G1041" s="4">
        <v>38503.5</v>
      </c>
      <c r="H1041" s="4">
        <v>29701.21</v>
      </c>
      <c r="I1041" s="8">
        <v>0.05</v>
      </c>
      <c r="J1041" s="4">
        <v>8802.2900000000009</v>
      </c>
      <c r="K1041" s="4" t="str">
        <f t="shared" si="64"/>
        <v>July</v>
      </c>
      <c r="L1041">
        <f t="shared" si="65"/>
        <v>7</v>
      </c>
      <c r="M1041" s="9">
        <f t="shared" si="66"/>
        <v>0.22861012635214983</v>
      </c>
      <c r="N1041" s="9">
        <f t="shared" si="67"/>
        <v>3.5656199636549784E-4</v>
      </c>
    </row>
    <row r="1042" spans="1:14" x14ac:dyDescent="0.35">
      <c r="A1042" s="6">
        <v>45061</v>
      </c>
      <c r="B1042" t="s">
        <v>9</v>
      </c>
      <c r="C1042" t="s">
        <v>13</v>
      </c>
      <c r="D1042" t="s">
        <v>28</v>
      </c>
      <c r="E1042" t="s">
        <v>36</v>
      </c>
      <c r="F1042" s="4">
        <v>7</v>
      </c>
      <c r="G1042" s="4">
        <v>142699.20000000001</v>
      </c>
      <c r="H1042" s="4">
        <v>85980.47</v>
      </c>
      <c r="I1042" s="8">
        <v>0.2</v>
      </c>
      <c r="J1042" s="4">
        <v>56718.73</v>
      </c>
      <c r="K1042" s="4" t="str">
        <f t="shared" si="64"/>
        <v>May</v>
      </c>
      <c r="L1042">
        <f t="shared" si="65"/>
        <v>5</v>
      </c>
      <c r="M1042" s="9">
        <f t="shared" si="66"/>
        <v>0.39747055344388754</v>
      </c>
      <c r="N1042" s="9">
        <f t="shared" si="67"/>
        <v>1.3214671817304779E-3</v>
      </c>
    </row>
    <row r="1043" spans="1:14" x14ac:dyDescent="0.35">
      <c r="A1043" s="6">
        <v>45209</v>
      </c>
      <c r="B1043" t="s">
        <v>10</v>
      </c>
      <c r="C1043" t="s">
        <v>19</v>
      </c>
      <c r="D1043" t="s">
        <v>26</v>
      </c>
      <c r="E1043" t="s">
        <v>34</v>
      </c>
      <c r="F1043" s="4">
        <v>1</v>
      </c>
      <c r="G1043" s="4">
        <v>38609.1</v>
      </c>
      <c r="H1043" s="4">
        <v>22101.99</v>
      </c>
      <c r="I1043" s="8">
        <v>0.1</v>
      </c>
      <c r="J1043" s="4">
        <v>16507.11</v>
      </c>
      <c r="K1043" s="4" t="str">
        <f t="shared" si="64"/>
        <v>October</v>
      </c>
      <c r="L1043">
        <f t="shared" si="65"/>
        <v>10</v>
      </c>
      <c r="M1043" s="9">
        <f t="shared" si="66"/>
        <v>0.42754454260783081</v>
      </c>
      <c r="N1043" s="9">
        <f t="shared" si="67"/>
        <v>3.575399060832169E-4</v>
      </c>
    </row>
    <row r="1044" spans="1:14" x14ac:dyDescent="0.35">
      <c r="A1044" s="6">
        <v>44950</v>
      </c>
      <c r="B1044" t="s">
        <v>10</v>
      </c>
      <c r="C1044" t="s">
        <v>14</v>
      </c>
      <c r="D1044" t="s">
        <v>26</v>
      </c>
      <c r="E1044" t="s">
        <v>30</v>
      </c>
      <c r="F1044" s="4">
        <v>6</v>
      </c>
      <c r="G1044" s="4">
        <v>9790.2000000000007</v>
      </c>
      <c r="H1044" s="4">
        <v>6947.79</v>
      </c>
      <c r="I1044" s="8">
        <v>0.1</v>
      </c>
      <c r="J1044" s="4">
        <v>2842.41</v>
      </c>
      <c r="K1044" s="4" t="str">
        <f t="shared" si="64"/>
        <v>January</v>
      </c>
      <c r="L1044">
        <f t="shared" si="65"/>
        <v>1</v>
      </c>
      <c r="M1044" s="9">
        <f t="shared" si="66"/>
        <v>0.29033216890359742</v>
      </c>
      <c r="N1044" s="9">
        <f t="shared" si="67"/>
        <v>9.0662232181944427E-5</v>
      </c>
    </row>
    <row r="1045" spans="1:14" x14ac:dyDescent="0.35">
      <c r="A1045" s="6">
        <v>45125</v>
      </c>
      <c r="B1045" t="s">
        <v>12</v>
      </c>
      <c r="C1045" t="s">
        <v>24</v>
      </c>
      <c r="D1045" t="s">
        <v>26</v>
      </c>
      <c r="E1045" t="s">
        <v>30</v>
      </c>
      <c r="F1045" s="4">
        <v>1</v>
      </c>
      <c r="G1045" s="4">
        <v>1603.1</v>
      </c>
      <c r="H1045" s="4">
        <v>1126.55</v>
      </c>
      <c r="I1045" s="8">
        <v>0.15</v>
      </c>
      <c r="J1045" s="4">
        <v>476.55</v>
      </c>
      <c r="K1045" s="4" t="str">
        <f t="shared" si="64"/>
        <v>July</v>
      </c>
      <c r="L1045">
        <f t="shared" si="65"/>
        <v>7</v>
      </c>
      <c r="M1045" s="9">
        <f t="shared" si="66"/>
        <v>0.29726779364980355</v>
      </c>
      <c r="N1045" s="9">
        <f t="shared" si="67"/>
        <v>1.4845521481775152E-5</v>
      </c>
    </row>
    <row r="1046" spans="1:14" x14ac:dyDescent="0.35">
      <c r="A1046" s="6">
        <v>44968</v>
      </c>
      <c r="B1046" t="s">
        <v>9</v>
      </c>
      <c r="C1046" t="s">
        <v>13</v>
      </c>
      <c r="D1046" t="s">
        <v>28</v>
      </c>
      <c r="E1046" t="s">
        <v>42</v>
      </c>
      <c r="F1046" s="4">
        <v>6</v>
      </c>
      <c r="G1046" s="4">
        <v>117315</v>
      </c>
      <c r="H1046" s="4">
        <v>87026.59</v>
      </c>
      <c r="I1046" s="8">
        <v>0.1</v>
      </c>
      <c r="J1046" s="4">
        <v>30288.41</v>
      </c>
      <c r="K1046" s="4" t="str">
        <f t="shared" si="64"/>
        <v>February</v>
      </c>
      <c r="L1046">
        <f t="shared" si="65"/>
        <v>2</v>
      </c>
      <c r="M1046" s="9">
        <f t="shared" si="66"/>
        <v>0.25818019861057834</v>
      </c>
      <c r="N1046" s="9">
        <f t="shared" si="67"/>
        <v>1.0863965770285399E-3</v>
      </c>
    </row>
    <row r="1047" spans="1:14" x14ac:dyDescent="0.35">
      <c r="A1047" s="6">
        <v>45235</v>
      </c>
      <c r="B1047" t="s">
        <v>11</v>
      </c>
      <c r="C1047" t="s">
        <v>17</v>
      </c>
      <c r="D1047" t="s">
        <v>28</v>
      </c>
      <c r="E1047" t="s">
        <v>36</v>
      </c>
      <c r="F1047" s="4">
        <v>2</v>
      </c>
      <c r="G1047" s="4">
        <v>39305.300000000003</v>
      </c>
      <c r="H1047" s="4">
        <v>30351.09</v>
      </c>
      <c r="I1047" s="8">
        <v>0.05</v>
      </c>
      <c r="J1047" s="4">
        <v>8954.2099999999991</v>
      </c>
      <c r="K1047" s="4" t="str">
        <f t="shared" si="64"/>
        <v>November</v>
      </c>
      <c r="L1047">
        <f t="shared" si="65"/>
        <v>11</v>
      </c>
      <c r="M1047" s="9">
        <f t="shared" si="66"/>
        <v>0.2278117709316555</v>
      </c>
      <c r="N1047" s="9">
        <f t="shared" si="67"/>
        <v>3.6398707223355808E-4</v>
      </c>
    </row>
    <row r="1048" spans="1:14" x14ac:dyDescent="0.35">
      <c r="A1048" s="6">
        <v>45029</v>
      </c>
      <c r="B1048" t="s">
        <v>11</v>
      </c>
      <c r="C1048" t="s">
        <v>17</v>
      </c>
      <c r="D1048" t="s">
        <v>26</v>
      </c>
      <c r="E1048" t="s">
        <v>43</v>
      </c>
      <c r="F1048" s="4">
        <v>1</v>
      </c>
      <c r="G1048" s="4">
        <v>36757.4</v>
      </c>
      <c r="H1048" s="4">
        <v>21626.33</v>
      </c>
      <c r="I1048" s="8">
        <v>0.05</v>
      </c>
      <c r="J1048" s="4">
        <v>15131.07</v>
      </c>
      <c r="K1048" s="4" t="str">
        <f t="shared" si="64"/>
        <v>April</v>
      </c>
      <c r="L1048">
        <f t="shared" si="65"/>
        <v>4</v>
      </c>
      <c r="M1048" s="9">
        <f t="shared" si="66"/>
        <v>0.41164690647325436</v>
      </c>
      <c r="N1048" s="9">
        <f t="shared" si="67"/>
        <v>3.403922221409781E-4</v>
      </c>
    </row>
    <row r="1049" spans="1:14" x14ac:dyDescent="0.35">
      <c r="A1049" s="6">
        <v>45285</v>
      </c>
      <c r="B1049" t="s">
        <v>9</v>
      </c>
      <c r="C1049" t="s">
        <v>15</v>
      </c>
      <c r="D1049" t="s">
        <v>28</v>
      </c>
      <c r="E1049" t="s">
        <v>39</v>
      </c>
      <c r="F1049" s="4">
        <v>5</v>
      </c>
      <c r="G1049" s="4">
        <v>127113.25</v>
      </c>
      <c r="H1049" s="4">
        <v>95632.69</v>
      </c>
      <c r="I1049" s="8">
        <v>0.15</v>
      </c>
      <c r="J1049" s="4">
        <v>31480.560000000001</v>
      </c>
      <c r="K1049" s="4" t="str">
        <f t="shared" si="64"/>
        <v>December</v>
      </c>
      <c r="L1049">
        <f t="shared" si="65"/>
        <v>12</v>
      </c>
      <c r="M1049" s="9">
        <f t="shared" si="66"/>
        <v>0.24765758093668441</v>
      </c>
      <c r="N1049" s="9">
        <f t="shared" si="67"/>
        <v>1.177133356305443E-3</v>
      </c>
    </row>
    <row r="1050" spans="1:14" x14ac:dyDescent="0.35">
      <c r="A1050" s="6">
        <v>45290</v>
      </c>
      <c r="B1050" t="s">
        <v>11</v>
      </c>
      <c r="C1050" t="s">
        <v>17</v>
      </c>
      <c r="D1050" t="s">
        <v>28</v>
      </c>
      <c r="E1050" t="s">
        <v>39</v>
      </c>
      <c r="F1050" s="4">
        <v>2</v>
      </c>
      <c r="G1050" s="4">
        <v>8637.7000000000007</v>
      </c>
      <c r="H1050" s="4">
        <v>4902.7700000000004</v>
      </c>
      <c r="I1050" s="8">
        <v>0.15</v>
      </c>
      <c r="J1050" s="4">
        <v>3734.93</v>
      </c>
      <c r="K1050" s="4" t="str">
        <f t="shared" si="64"/>
        <v>December</v>
      </c>
      <c r="L1050">
        <f t="shared" si="65"/>
        <v>12</v>
      </c>
      <c r="M1050" s="9">
        <f t="shared" si="66"/>
        <v>0.43239867094249623</v>
      </c>
      <c r="N1050" s="9">
        <f t="shared" si="67"/>
        <v>7.9989495916118306E-5</v>
      </c>
    </row>
    <row r="1051" spans="1:14" x14ac:dyDescent="0.35">
      <c r="A1051" s="6">
        <v>45176</v>
      </c>
      <c r="B1051" t="s">
        <v>11</v>
      </c>
      <c r="C1051" t="s">
        <v>16</v>
      </c>
      <c r="D1051" t="s">
        <v>25</v>
      </c>
      <c r="E1051" t="s">
        <v>32</v>
      </c>
      <c r="F1051" s="4">
        <v>4</v>
      </c>
      <c r="G1051" s="4">
        <v>124156.8</v>
      </c>
      <c r="H1051" s="4">
        <v>83841.929999999993</v>
      </c>
      <c r="I1051" s="8">
        <v>0.1</v>
      </c>
      <c r="J1051" s="4">
        <v>40314.870000000003</v>
      </c>
      <c r="K1051" s="4" t="str">
        <f t="shared" si="64"/>
        <v>September</v>
      </c>
      <c r="L1051">
        <f t="shared" si="65"/>
        <v>9</v>
      </c>
      <c r="M1051" s="9">
        <f t="shared" si="66"/>
        <v>0.32470931918348411</v>
      </c>
      <c r="N1051" s="9">
        <f t="shared" si="67"/>
        <v>1.1497551253873504E-3</v>
      </c>
    </row>
    <row r="1052" spans="1:14" x14ac:dyDescent="0.35">
      <c r="A1052" s="6">
        <v>45115</v>
      </c>
      <c r="B1052" t="s">
        <v>11</v>
      </c>
      <c r="C1052" t="s">
        <v>17</v>
      </c>
      <c r="D1052" t="s">
        <v>26</v>
      </c>
      <c r="E1052" t="s">
        <v>30</v>
      </c>
      <c r="F1052" s="4">
        <v>3</v>
      </c>
      <c r="G1052" s="4">
        <v>25820.1</v>
      </c>
      <c r="H1052" s="4">
        <v>16722.990000000002</v>
      </c>
      <c r="I1052" s="8">
        <v>0.1</v>
      </c>
      <c r="J1052" s="4">
        <v>9097.11</v>
      </c>
      <c r="K1052" s="4" t="str">
        <f t="shared" si="64"/>
        <v>July</v>
      </c>
      <c r="L1052">
        <f t="shared" si="65"/>
        <v>7</v>
      </c>
      <c r="M1052" s="9">
        <f t="shared" si="66"/>
        <v>0.35232667572937365</v>
      </c>
      <c r="N1052" s="9">
        <f t="shared" si="67"/>
        <v>2.3910726044013638E-4</v>
      </c>
    </row>
    <row r="1053" spans="1:14" x14ac:dyDescent="0.35">
      <c r="A1053" s="6">
        <v>45136</v>
      </c>
      <c r="B1053" t="s">
        <v>9</v>
      </c>
      <c r="C1053" t="s">
        <v>20</v>
      </c>
      <c r="D1053" t="s">
        <v>28</v>
      </c>
      <c r="E1053" t="s">
        <v>36</v>
      </c>
      <c r="F1053" s="4">
        <v>3</v>
      </c>
      <c r="G1053" s="4">
        <v>7815</v>
      </c>
      <c r="H1053" s="4">
        <v>5777.1</v>
      </c>
      <c r="I1053" s="8">
        <v>0</v>
      </c>
      <c r="J1053" s="4">
        <v>2037.9</v>
      </c>
      <c r="K1053" s="4" t="str">
        <f t="shared" si="64"/>
        <v>July</v>
      </c>
      <c r="L1053">
        <f t="shared" si="65"/>
        <v>7</v>
      </c>
      <c r="M1053" s="9">
        <f t="shared" si="66"/>
        <v>0.26076775431861804</v>
      </c>
      <c r="N1053" s="9">
        <f t="shared" si="67"/>
        <v>7.2370875416426185E-5</v>
      </c>
    </row>
    <row r="1054" spans="1:14" x14ac:dyDescent="0.35">
      <c r="A1054" s="6">
        <v>44965</v>
      </c>
      <c r="B1054" t="s">
        <v>12</v>
      </c>
      <c r="C1054" t="s">
        <v>23</v>
      </c>
      <c r="D1054" t="s">
        <v>28</v>
      </c>
      <c r="E1054" t="s">
        <v>39</v>
      </c>
      <c r="F1054" s="4">
        <v>4</v>
      </c>
      <c r="G1054" s="4">
        <v>160374.6</v>
      </c>
      <c r="H1054" s="4">
        <v>110531.73</v>
      </c>
      <c r="I1054" s="8">
        <v>0.15</v>
      </c>
      <c r="J1054" s="4">
        <v>49842.87</v>
      </c>
      <c r="K1054" s="4" t="str">
        <f t="shared" si="64"/>
        <v>February</v>
      </c>
      <c r="L1054">
        <f t="shared" si="65"/>
        <v>2</v>
      </c>
      <c r="M1054" s="9">
        <f t="shared" si="66"/>
        <v>0.31079029971080208</v>
      </c>
      <c r="N1054" s="9">
        <f t="shared" si="67"/>
        <v>1.4851503770389231E-3</v>
      </c>
    </row>
    <row r="1055" spans="1:14" x14ac:dyDescent="0.35">
      <c r="A1055" s="6">
        <v>45181</v>
      </c>
      <c r="B1055" t="s">
        <v>9</v>
      </c>
      <c r="C1055" t="s">
        <v>15</v>
      </c>
      <c r="D1055" t="s">
        <v>26</v>
      </c>
      <c r="E1055" t="s">
        <v>35</v>
      </c>
      <c r="F1055" s="4">
        <v>2</v>
      </c>
      <c r="G1055" s="4">
        <v>2913.8</v>
      </c>
      <c r="H1055" s="4">
        <v>2003.15</v>
      </c>
      <c r="I1055" s="8">
        <v>0.15</v>
      </c>
      <c r="J1055" s="4">
        <v>910.65</v>
      </c>
      <c r="K1055" s="4" t="str">
        <f t="shared" si="64"/>
        <v>September</v>
      </c>
      <c r="L1055">
        <f t="shared" si="65"/>
        <v>9</v>
      </c>
      <c r="M1055" s="9">
        <f t="shared" si="66"/>
        <v>0.31253002951472303</v>
      </c>
      <c r="N1055" s="9">
        <f t="shared" si="67"/>
        <v>2.6983270222441797E-5</v>
      </c>
    </row>
    <row r="1056" spans="1:14" x14ac:dyDescent="0.35">
      <c r="A1056" s="6">
        <v>44948</v>
      </c>
      <c r="B1056" t="s">
        <v>11</v>
      </c>
      <c r="C1056" t="s">
        <v>16</v>
      </c>
      <c r="D1056" t="s">
        <v>25</v>
      </c>
      <c r="E1056" t="s">
        <v>29</v>
      </c>
      <c r="F1056" s="4">
        <v>6</v>
      </c>
      <c r="G1056" s="4">
        <v>218264.4</v>
      </c>
      <c r="H1056" s="4">
        <v>145854.67000000001</v>
      </c>
      <c r="I1056" s="8">
        <v>0.05</v>
      </c>
      <c r="J1056" s="4">
        <v>72409.73</v>
      </c>
      <c r="K1056" s="4" t="str">
        <f t="shared" si="64"/>
        <v>January</v>
      </c>
      <c r="L1056">
        <f t="shared" si="65"/>
        <v>1</v>
      </c>
      <c r="M1056" s="9">
        <f t="shared" si="66"/>
        <v>0.33175236089806676</v>
      </c>
      <c r="N1056" s="9">
        <f t="shared" si="67"/>
        <v>2.0212393730314796E-3</v>
      </c>
    </row>
    <row r="1057" spans="1:14" x14ac:dyDescent="0.35">
      <c r="A1057" s="6">
        <v>45033</v>
      </c>
      <c r="B1057" t="s">
        <v>9</v>
      </c>
      <c r="C1057" t="s">
        <v>13</v>
      </c>
      <c r="D1057" t="s">
        <v>27</v>
      </c>
      <c r="E1057" t="s">
        <v>41</v>
      </c>
      <c r="F1057" s="4">
        <v>3</v>
      </c>
      <c r="G1057" s="4">
        <v>76349.55</v>
      </c>
      <c r="H1057" s="4">
        <v>60725.02</v>
      </c>
      <c r="I1057" s="8">
        <v>0.15</v>
      </c>
      <c r="J1057" s="4">
        <v>15624.53</v>
      </c>
      <c r="K1057" s="4" t="str">
        <f t="shared" si="64"/>
        <v>April</v>
      </c>
      <c r="L1057">
        <f t="shared" si="65"/>
        <v>4</v>
      </c>
      <c r="M1057" s="9">
        <f t="shared" si="66"/>
        <v>0.20464469011277736</v>
      </c>
      <c r="N1057" s="9">
        <f t="shared" si="67"/>
        <v>7.0703567129241235E-4</v>
      </c>
    </row>
    <row r="1058" spans="1:14" x14ac:dyDescent="0.35">
      <c r="A1058" s="6">
        <v>45128</v>
      </c>
      <c r="B1058" t="s">
        <v>9</v>
      </c>
      <c r="C1058" t="s">
        <v>13</v>
      </c>
      <c r="D1058" t="s">
        <v>25</v>
      </c>
      <c r="E1058" t="s">
        <v>32</v>
      </c>
      <c r="F1058" s="4">
        <v>2</v>
      </c>
      <c r="G1058" s="4">
        <v>85306.2</v>
      </c>
      <c r="H1058" s="4">
        <v>56574.1</v>
      </c>
      <c r="I1058" s="8">
        <v>0.05</v>
      </c>
      <c r="J1058" s="4">
        <v>28732.1</v>
      </c>
      <c r="K1058" s="4" t="str">
        <f t="shared" si="64"/>
        <v>July</v>
      </c>
      <c r="L1058">
        <f t="shared" si="65"/>
        <v>7</v>
      </c>
      <c r="M1058" s="9">
        <f t="shared" si="66"/>
        <v>0.33681139237241842</v>
      </c>
      <c r="N1058" s="9">
        <f t="shared" si="67"/>
        <v>7.8997880645537242E-4</v>
      </c>
    </row>
    <row r="1059" spans="1:14" x14ac:dyDescent="0.35">
      <c r="A1059" s="6">
        <v>45162</v>
      </c>
      <c r="B1059" t="s">
        <v>10</v>
      </c>
      <c r="C1059" t="s">
        <v>22</v>
      </c>
      <c r="D1059" t="s">
        <v>26</v>
      </c>
      <c r="E1059" t="s">
        <v>43</v>
      </c>
      <c r="F1059" s="4">
        <v>6</v>
      </c>
      <c r="G1059" s="4">
        <v>91674</v>
      </c>
      <c r="H1059" s="4">
        <v>69756.59</v>
      </c>
      <c r="I1059" s="8">
        <v>0</v>
      </c>
      <c r="J1059" s="4">
        <v>21917.41</v>
      </c>
      <c r="K1059" s="4" t="str">
        <f t="shared" si="64"/>
        <v>August</v>
      </c>
      <c r="L1059">
        <f t="shared" si="65"/>
        <v>8</v>
      </c>
      <c r="M1059" s="9">
        <f t="shared" si="66"/>
        <v>0.23907989179047495</v>
      </c>
      <c r="N1059" s="9">
        <f t="shared" si="67"/>
        <v>8.4894787369487574E-4</v>
      </c>
    </row>
    <row r="1060" spans="1:14" x14ac:dyDescent="0.35">
      <c r="A1060" s="6">
        <v>44966</v>
      </c>
      <c r="B1060" t="s">
        <v>9</v>
      </c>
      <c r="C1060" t="s">
        <v>13</v>
      </c>
      <c r="D1060" t="s">
        <v>25</v>
      </c>
      <c r="E1060" t="s">
        <v>37</v>
      </c>
      <c r="F1060" s="4">
        <v>3</v>
      </c>
      <c r="G1060" s="4">
        <v>62866.8</v>
      </c>
      <c r="H1060" s="4">
        <v>40611.120000000003</v>
      </c>
      <c r="I1060" s="8">
        <v>0.1</v>
      </c>
      <c r="J1060" s="4">
        <v>22255.68</v>
      </c>
      <c r="K1060" s="4" t="str">
        <f t="shared" si="64"/>
        <v>February</v>
      </c>
      <c r="L1060">
        <f t="shared" si="65"/>
        <v>2</v>
      </c>
      <c r="M1060" s="9">
        <f t="shared" si="66"/>
        <v>0.3540132470556796</v>
      </c>
      <c r="N1060" s="9">
        <f t="shared" si="67"/>
        <v>5.8217854774528243E-4</v>
      </c>
    </row>
    <row r="1061" spans="1:14" x14ac:dyDescent="0.35">
      <c r="A1061" s="6">
        <v>45168</v>
      </c>
      <c r="B1061" t="s">
        <v>11</v>
      </c>
      <c r="C1061" t="s">
        <v>16</v>
      </c>
      <c r="D1061" t="s">
        <v>27</v>
      </c>
      <c r="E1061" t="s">
        <v>41</v>
      </c>
      <c r="F1061" s="4">
        <v>1</v>
      </c>
      <c r="G1061" s="4">
        <v>24661</v>
      </c>
      <c r="H1061" s="4">
        <v>14443.86</v>
      </c>
      <c r="I1061" s="8">
        <v>0</v>
      </c>
      <c r="J1061" s="4">
        <v>10217.14</v>
      </c>
      <c r="K1061" s="4" t="str">
        <f t="shared" si="64"/>
        <v>August</v>
      </c>
      <c r="L1061">
        <f t="shared" si="65"/>
        <v>8</v>
      </c>
      <c r="M1061" s="9">
        <f t="shared" si="66"/>
        <v>0.41430355622237541</v>
      </c>
      <c r="N1061" s="9">
        <f t="shared" si="67"/>
        <v>2.283734048169528E-4</v>
      </c>
    </row>
    <row r="1062" spans="1:14" x14ac:dyDescent="0.35">
      <c r="A1062" s="6">
        <v>45116</v>
      </c>
      <c r="B1062" t="s">
        <v>9</v>
      </c>
      <c r="C1062" t="s">
        <v>15</v>
      </c>
      <c r="D1062" t="s">
        <v>27</v>
      </c>
      <c r="E1062" t="s">
        <v>41</v>
      </c>
      <c r="F1062" s="4">
        <v>4</v>
      </c>
      <c r="G1062" s="4">
        <v>74644</v>
      </c>
      <c r="H1062" s="4">
        <v>46536.7</v>
      </c>
      <c r="I1062" s="8">
        <v>0</v>
      </c>
      <c r="J1062" s="4">
        <v>28107.3</v>
      </c>
      <c r="K1062" s="4" t="str">
        <f t="shared" si="64"/>
        <v>July</v>
      </c>
      <c r="L1062">
        <f t="shared" si="65"/>
        <v>7</v>
      </c>
      <c r="M1062" s="9">
        <f t="shared" si="66"/>
        <v>0.37655136380686993</v>
      </c>
      <c r="N1062" s="9">
        <f t="shared" si="67"/>
        <v>6.9124141069529319E-4</v>
      </c>
    </row>
    <row r="1063" spans="1:14" x14ac:dyDescent="0.35">
      <c r="A1063" s="6">
        <v>45228</v>
      </c>
      <c r="B1063" t="s">
        <v>9</v>
      </c>
      <c r="C1063" t="s">
        <v>20</v>
      </c>
      <c r="D1063" t="s">
        <v>26</v>
      </c>
      <c r="E1063" t="s">
        <v>34</v>
      </c>
      <c r="F1063" s="4">
        <v>6</v>
      </c>
      <c r="G1063" s="4">
        <v>243982.8</v>
      </c>
      <c r="H1063" s="4">
        <v>172690.3</v>
      </c>
      <c r="I1063" s="8">
        <v>0.1</v>
      </c>
      <c r="J1063" s="4">
        <v>71292.5</v>
      </c>
      <c r="K1063" s="4" t="str">
        <f t="shared" si="64"/>
        <v>October</v>
      </c>
      <c r="L1063">
        <f t="shared" si="65"/>
        <v>10</v>
      </c>
      <c r="M1063" s="9">
        <f t="shared" si="66"/>
        <v>0.29220297496380893</v>
      </c>
      <c r="N1063" s="9">
        <f t="shared" si="67"/>
        <v>2.2594048397377897E-3</v>
      </c>
    </row>
    <row r="1064" spans="1:14" x14ac:dyDescent="0.35">
      <c r="A1064" s="6">
        <v>45162</v>
      </c>
      <c r="B1064" t="s">
        <v>10</v>
      </c>
      <c r="C1064" t="s">
        <v>19</v>
      </c>
      <c r="D1064" t="s">
        <v>27</v>
      </c>
      <c r="E1064" t="s">
        <v>40</v>
      </c>
      <c r="F1064" s="4">
        <v>4</v>
      </c>
      <c r="G1064" s="4">
        <v>8857.7999999999993</v>
      </c>
      <c r="H1064" s="4">
        <v>6036.47</v>
      </c>
      <c r="I1064" s="8">
        <v>0.05</v>
      </c>
      <c r="J1064" s="4">
        <v>2821.33</v>
      </c>
      <c r="K1064" s="4" t="str">
        <f t="shared" si="64"/>
        <v>August</v>
      </c>
      <c r="L1064">
        <f t="shared" si="65"/>
        <v>8</v>
      </c>
      <c r="M1064" s="9">
        <f t="shared" si="66"/>
        <v>0.31851362640836328</v>
      </c>
      <c r="N1064" s="9">
        <f t="shared" si="67"/>
        <v>8.2027733878902085E-5</v>
      </c>
    </row>
    <row r="1065" spans="1:14" x14ac:dyDescent="0.35">
      <c r="A1065" s="6">
        <v>45039</v>
      </c>
      <c r="B1065" t="s">
        <v>9</v>
      </c>
      <c r="C1065" t="s">
        <v>13</v>
      </c>
      <c r="D1065" t="s">
        <v>27</v>
      </c>
      <c r="E1065" t="s">
        <v>40</v>
      </c>
      <c r="F1065" s="4">
        <v>6</v>
      </c>
      <c r="G1065" s="4">
        <v>68832</v>
      </c>
      <c r="H1065" s="4">
        <v>43745.94</v>
      </c>
      <c r="I1065" s="8">
        <v>0</v>
      </c>
      <c r="J1065" s="4">
        <v>25086.06</v>
      </c>
      <c r="K1065" s="4" t="str">
        <f t="shared" si="64"/>
        <v>April</v>
      </c>
      <c r="L1065">
        <f t="shared" si="65"/>
        <v>4</v>
      </c>
      <c r="M1065" s="9">
        <f t="shared" si="66"/>
        <v>0.36445345188284523</v>
      </c>
      <c r="N1065" s="9">
        <f t="shared" si="67"/>
        <v>6.3741933418598169E-4</v>
      </c>
    </row>
    <row r="1066" spans="1:14" x14ac:dyDescent="0.35">
      <c r="A1066" s="6">
        <v>45041</v>
      </c>
      <c r="B1066" t="s">
        <v>12</v>
      </c>
      <c r="C1066" t="s">
        <v>23</v>
      </c>
      <c r="D1066" t="s">
        <v>27</v>
      </c>
      <c r="E1066" t="s">
        <v>41</v>
      </c>
      <c r="F1066" s="4">
        <v>5</v>
      </c>
      <c r="G1066" s="4">
        <v>105450</v>
      </c>
      <c r="H1066" s="4">
        <v>76055.97</v>
      </c>
      <c r="I1066" s="8">
        <v>0.05</v>
      </c>
      <c r="J1066" s="4">
        <v>29394.03</v>
      </c>
      <c r="K1066" s="4" t="str">
        <f t="shared" si="64"/>
        <v>April</v>
      </c>
      <c r="L1066">
        <f t="shared" si="65"/>
        <v>4</v>
      </c>
      <c r="M1066" s="9">
        <f t="shared" si="66"/>
        <v>0.27874850640113796</v>
      </c>
      <c r="N1066" s="9">
        <f t="shared" si="67"/>
        <v>9.7652064141550115E-4</v>
      </c>
    </row>
    <row r="1067" spans="1:14" x14ac:dyDescent="0.35">
      <c r="A1067" s="6">
        <v>45159</v>
      </c>
      <c r="B1067" t="s">
        <v>12</v>
      </c>
      <c r="C1067" t="s">
        <v>23</v>
      </c>
      <c r="D1067" t="s">
        <v>27</v>
      </c>
      <c r="E1067" t="s">
        <v>31</v>
      </c>
      <c r="F1067" s="4">
        <v>1</v>
      </c>
      <c r="G1067" s="4">
        <v>29944.95</v>
      </c>
      <c r="H1067" s="4">
        <v>21475.55</v>
      </c>
      <c r="I1067" s="8">
        <v>0.05</v>
      </c>
      <c r="J1067" s="4">
        <v>8469.4</v>
      </c>
      <c r="K1067" s="4" t="str">
        <f t="shared" si="64"/>
        <v>August</v>
      </c>
      <c r="L1067">
        <f t="shared" si="65"/>
        <v>8</v>
      </c>
      <c r="M1067" s="9">
        <f t="shared" si="66"/>
        <v>0.28283233066009461</v>
      </c>
      <c r="N1067" s="9">
        <f t="shared" si="67"/>
        <v>2.7730546971223432E-4</v>
      </c>
    </row>
    <row r="1068" spans="1:14" x14ac:dyDescent="0.35">
      <c r="A1068" s="6">
        <v>45090</v>
      </c>
      <c r="B1068" t="s">
        <v>9</v>
      </c>
      <c r="C1068" t="s">
        <v>15</v>
      </c>
      <c r="D1068" t="s">
        <v>26</v>
      </c>
      <c r="E1068" t="s">
        <v>34</v>
      </c>
      <c r="F1068" s="4">
        <v>1</v>
      </c>
      <c r="G1068" s="4">
        <v>28292.400000000001</v>
      </c>
      <c r="H1068" s="4">
        <v>18293.64</v>
      </c>
      <c r="I1068" s="8">
        <v>0.1</v>
      </c>
      <c r="J1068" s="4">
        <v>9998.76</v>
      </c>
      <c r="K1068" s="4" t="str">
        <f t="shared" si="64"/>
        <v>June</v>
      </c>
      <c r="L1068">
        <f t="shared" si="65"/>
        <v>6</v>
      </c>
      <c r="M1068" s="9">
        <f t="shared" si="66"/>
        <v>0.3534079823556856</v>
      </c>
      <c r="N1068" s="9">
        <f t="shared" si="67"/>
        <v>2.6200201607571292E-4</v>
      </c>
    </row>
    <row r="1069" spans="1:14" x14ac:dyDescent="0.35">
      <c r="A1069" s="6">
        <v>45179</v>
      </c>
      <c r="B1069" t="s">
        <v>9</v>
      </c>
      <c r="C1069" t="s">
        <v>13</v>
      </c>
      <c r="D1069" t="s">
        <v>28</v>
      </c>
      <c r="E1069" t="s">
        <v>36</v>
      </c>
      <c r="F1069" s="4">
        <v>7</v>
      </c>
      <c r="G1069" s="4">
        <v>123949</v>
      </c>
      <c r="H1069" s="4">
        <v>74057.509999999995</v>
      </c>
      <c r="I1069" s="8">
        <v>0</v>
      </c>
      <c r="J1069" s="4">
        <v>49891.49</v>
      </c>
      <c r="K1069" s="4" t="str">
        <f t="shared" si="64"/>
        <v>September</v>
      </c>
      <c r="L1069">
        <f t="shared" si="65"/>
        <v>9</v>
      </c>
      <c r="M1069" s="9">
        <f t="shared" si="66"/>
        <v>0.4025162768558036</v>
      </c>
      <c r="N1069" s="9">
        <f t="shared" si="67"/>
        <v>1.14783079168146E-3</v>
      </c>
    </row>
    <row r="1070" spans="1:14" x14ac:dyDescent="0.35">
      <c r="A1070" s="6">
        <v>45234</v>
      </c>
      <c r="B1070" t="s">
        <v>10</v>
      </c>
      <c r="C1070" t="s">
        <v>22</v>
      </c>
      <c r="D1070" t="s">
        <v>27</v>
      </c>
      <c r="E1070" t="s">
        <v>31</v>
      </c>
      <c r="F1070" s="4">
        <v>7</v>
      </c>
      <c r="G1070" s="4">
        <v>169904.7</v>
      </c>
      <c r="H1070" s="4">
        <v>127673.35</v>
      </c>
      <c r="I1070" s="8">
        <v>0.1</v>
      </c>
      <c r="J1070" s="4">
        <v>42231.35</v>
      </c>
      <c r="K1070" s="4" t="str">
        <f t="shared" si="64"/>
        <v>November</v>
      </c>
      <c r="L1070">
        <f t="shared" si="65"/>
        <v>11</v>
      </c>
      <c r="M1070" s="9">
        <f t="shared" si="66"/>
        <v>0.24855904515884492</v>
      </c>
      <c r="N1070" s="9">
        <f t="shared" si="67"/>
        <v>1.5734039509104629E-3</v>
      </c>
    </row>
    <row r="1071" spans="1:14" x14ac:dyDescent="0.35">
      <c r="A1071" s="6">
        <v>45118</v>
      </c>
      <c r="B1071" t="s">
        <v>11</v>
      </c>
      <c r="C1071" t="s">
        <v>17</v>
      </c>
      <c r="D1071" t="s">
        <v>28</v>
      </c>
      <c r="E1071" t="s">
        <v>39</v>
      </c>
      <c r="F1071" s="4">
        <v>3</v>
      </c>
      <c r="G1071" s="4">
        <v>48897</v>
      </c>
      <c r="H1071" s="4">
        <v>30172.51</v>
      </c>
      <c r="I1071" s="8">
        <v>0</v>
      </c>
      <c r="J1071" s="4">
        <v>18724.490000000002</v>
      </c>
      <c r="K1071" s="4" t="str">
        <f t="shared" si="64"/>
        <v>July</v>
      </c>
      <c r="L1071">
        <f t="shared" si="65"/>
        <v>7</v>
      </c>
      <c r="M1071" s="9">
        <f t="shared" si="66"/>
        <v>0.38293739902243495</v>
      </c>
      <c r="N1071" s="9">
        <f t="shared" si="67"/>
        <v>4.5281109344043395E-4</v>
      </c>
    </row>
    <row r="1072" spans="1:14" x14ac:dyDescent="0.35">
      <c r="A1072" s="6">
        <v>45016</v>
      </c>
      <c r="B1072" t="s">
        <v>9</v>
      </c>
      <c r="C1072" t="s">
        <v>15</v>
      </c>
      <c r="D1072" t="s">
        <v>26</v>
      </c>
      <c r="E1072" t="s">
        <v>35</v>
      </c>
      <c r="F1072" s="4">
        <v>3</v>
      </c>
      <c r="G1072" s="4">
        <v>14711.7</v>
      </c>
      <c r="H1072" s="4">
        <v>9734.67</v>
      </c>
      <c r="I1072" s="8">
        <v>0.05</v>
      </c>
      <c r="J1072" s="4">
        <v>4977.03</v>
      </c>
      <c r="K1072" s="4" t="str">
        <f t="shared" si="64"/>
        <v>March</v>
      </c>
      <c r="L1072">
        <f t="shared" si="65"/>
        <v>3</v>
      </c>
      <c r="M1072" s="9">
        <f t="shared" si="66"/>
        <v>0.33830420685576784</v>
      </c>
      <c r="N1072" s="9">
        <f t="shared" si="67"/>
        <v>1.3623782570234641E-4</v>
      </c>
    </row>
    <row r="1073" spans="1:14" x14ac:dyDescent="0.35">
      <c r="A1073" s="6">
        <v>45071</v>
      </c>
      <c r="B1073" t="s">
        <v>11</v>
      </c>
      <c r="C1073" t="s">
        <v>16</v>
      </c>
      <c r="D1073" t="s">
        <v>27</v>
      </c>
      <c r="E1073" t="s">
        <v>41</v>
      </c>
      <c r="F1073" s="4">
        <v>5</v>
      </c>
      <c r="G1073" s="4">
        <v>129744</v>
      </c>
      <c r="H1073" s="4">
        <v>98880.57</v>
      </c>
      <c r="I1073" s="8">
        <v>0.15</v>
      </c>
      <c r="J1073" s="4">
        <v>30863.43</v>
      </c>
      <c r="K1073" s="4" t="str">
        <f t="shared" si="64"/>
        <v>May</v>
      </c>
      <c r="L1073">
        <f t="shared" si="65"/>
        <v>5</v>
      </c>
      <c r="M1073" s="9">
        <f t="shared" si="66"/>
        <v>0.23787943951165372</v>
      </c>
      <c r="N1073" s="9">
        <f t="shared" si="67"/>
        <v>1.2014954395430325E-3</v>
      </c>
    </row>
    <row r="1074" spans="1:14" x14ac:dyDescent="0.35">
      <c r="A1074" s="6">
        <v>45149</v>
      </c>
      <c r="B1074" t="s">
        <v>10</v>
      </c>
      <c r="C1074" t="s">
        <v>14</v>
      </c>
      <c r="D1074" t="s">
        <v>25</v>
      </c>
      <c r="E1074" t="s">
        <v>33</v>
      </c>
      <c r="F1074" s="4">
        <v>2</v>
      </c>
      <c r="G1074" s="4">
        <v>50073.5</v>
      </c>
      <c r="H1074" s="4">
        <v>32006.61</v>
      </c>
      <c r="I1074" s="8">
        <v>0.15</v>
      </c>
      <c r="J1074" s="4">
        <v>18066.89</v>
      </c>
      <c r="K1074" s="4" t="str">
        <f t="shared" si="64"/>
        <v>August</v>
      </c>
      <c r="L1074">
        <f t="shared" si="65"/>
        <v>8</v>
      </c>
      <c r="M1074" s="9">
        <f t="shared" si="66"/>
        <v>0.36080741310273895</v>
      </c>
      <c r="N1074" s="9">
        <f t="shared" si="67"/>
        <v>4.6370608191483259E-4</v>
      </c>
    </row>
    <row r="1075" spans="1:14" x14ac:dyDescent="0.35">
      <c r="A1075" s="6">
        <v>45150</v>
      </c>
      <c r="B1075" t="s">
        <v>11</v>
      </c>
      <c r="C1075" t="s">
        <v>17</v>
      </c>
      <c r="D1075" t="s">
        <v>27</v>
      </c>
      <c r="E1075" t="s">
        <v>31</v>
      </c>
      <c r="F1075" s="4">
        <v>2</v>
      </c>
      <c r="G1075" s="4">
        <v>74750.399999999994</v>
      </c>
      <c r="H1075" s="4">
        <v>47436</v>
      </c>
      <c r="I1075" s="8">
        <v>0.2</v>
      </c>
      <c r="J1075" s="4">
        <v>27314.400000000001</v>
      </c>
      <c r="K1075" s="4" t="str">
        <f t="shared" si="64"/>
        <v>August</v>
      </c>
      <c r="L1075">
        <f t="shared" si="65"/>
        <v>8</v>
      </c>
      <c r="M1075" s="9">
        <f t="shared" si="66"/>
        <v>0.36540807808386316</v>
      </c>
      <c r="N1075" s="9">
        <f t="shared" si="67"/>
        <v>6.9222672881996466E-4</v>
      </c>
    </row>
    <row r="1076" spans="1:14" x14ac:dyDescent="0.35">
      <c r="A1076" s="6">
        <v>45155</v>
      </c>
      <c r="B1076" t="s">
        <v>11</v>
      </c>
      <c r="C1076" t="s">
        <v>18</v>
      </c>
      <c r="D1076" t="s">
        <v>25</v>
      </c>
      <c r="E1076" t="s">
        <v>33</v>
      </c>
      <c r="F1076" s="4">
        <v>5</v>
      </c>
      <c r="G1076" s="4">
        <v>137128</v>
      </c>
      <c r="H1076" s="4">
        <v>95353.8</v>
      </c>
      <c r="I1076" s="8">
        <v>0.2</v>
      </c>
      <c r="J1076" s="4">
        <v>41774.199999999997</v>
      </c>
      <c r="K1076" s="4" t="str">
        <f t="shared" si="64"/>
        <v>August</v>
      </c>
      <c r="L1076">
        <f t="shared" si="65"/>
        <v>8</v>
      </c>
      <c r="M1076" s="9">
        <f t="shared" si="66"/>
        <v>0.30463654395892886</v>
      </c>
      <c r="N1076" s="9">
        <f t="shared" si="67"/>
        <v>1.2698750357138439E-3</v>
      </c>
    </row>
    <row r="1077" spans="1:14" x14ac:dyDescent="0.35">
      <c r="A1077" s="6">
        <v>45025</v>
      </c>
      <c r="B1077" t="s">
        <v>11</v>
      </c>
      <c r="C1077" t="s">
        <v>18</v>
      </c>
      <c r="D1077" t="s">
        <v>25</v>
      </c>
      <c r="E1077" t="s">
        <v>32</v>
      </c>
      <c r="F1077" s="4">
        <v>5</v>
      </c>
      <c r="G1077" s="4">
        <v>209440</v>
      </c>
      <c r="H1077" s="4">
        <v>151329.35999999999</v>
      </c>
      <c r="I1077" s="8">
        <v>0.15</v>
      </c>
      <c r="J1077" s="4">
        <v>58110.64</v>
      </c>
      <c r="K1077" s="4" t="str">
        <f t="shared" si="64"/>
        <v>April</v>
      </c>
      <c r="L1077">
        <f t="shared" si="65"/>
        <v>4</v>
      </c>
      <c r="M1077" s="9">
        <f t="shared" si="66"/>
        <v>0.27745721925133687</v>
      </c>
      <c r="N1077" s="9">
        <f t="shared" si="67"/>
        <v>1.9395209401428409E-3</v>
      </c>
    </row>
    <row r="1078" spans="1:14" x14ac:dyDescent="0.35">
      <c r="A1078" s="6">
        <v>45045</v>
      </c>
      <c r="B1078" t="s">
        <v>9</v>
      </c>
      <c r="C1078" t="s">
        <v>15</v>
      </c>
      <c r="D1078" t="s">
        <v>25</v>
      </c>
      <c r="E1078" t="s">
        <v>32</v>
      </c>
      <c r="F1078" s="4">
        <v>3</v>
      </c>
      <c r="G1078" s="4">
        <v>109480.8</v>
      </c>
      <c r="H1078" s="4">
        <v>67497.87</v>
      </c>
      <c r="I1078" s="8">
        <v>0.2</v>
      </c>
      <c r="J1078" s="4">
        <v>41982.93</v>
      </c>
      <c r="K1078" s="4" t="str">
        <f t="shared" si="64"/>
        <v>April</v>
      </c>
      <c r="L1078">
        <f t="shared" si="65"/>
        <v>4</v>
      </c>
      <c r="M1078" s="9">
        <f t="shared" si="66"/>
        <v>0.38347299252471667</v>
      </c>
      <c r="N1078" s="9">
        <f t="shared" si="67"/>
        <v>1.0138478998452556E-3</v>
      </c>
    </row>
    <row r="1079" spans="1:14" x14ac:dyDescent="0.35">
      <c r="A1079" s="6">
        <v>45263</v>
      </c>
      <c r="B1079" t="s">
        <v>10</v>
      </c>
      <c r="C1079" t="s">
        <v>19</v>
      </c>
      <c r="D1079" t="s">
        <v>28</v>
      </c>
      <c r="E1079" t="s">
        <v>44</v>
      </c>
      <c r="F1079" s="4">
        <v>1</v>
      </c>
      <c r="G1079" s="4">
        <v>16163.1</v>
      </c>
      <c r="H1079" s="4">
        <v>11450.56</v>
      </c>
      <c r="I1079" s="8">
        <v>0.1</v>
      </c>
      <c r="J1079" s="4">
        <v>4712.54</v>
      </c>
      <c r="K1079" s="4" t="str">
        <f t="shared" si="64"/>
        <v>December</v>
      </c>
      <c r="L1079">
        <f t="shared" si="65"/>
        <v>12</v>
      </c>
      <c r="M1079" s="9">
        <f t="shared" si="66"/>
        <v>0.29156164349660646</v>
      </c>
      <c r="N1079" s="9">
        <f t="shared" si="67"/>
        <v>1.4967852801576944E-4</v>
      </c>
    </row>
    <row r="1080" spans="1:14" x14ac:dyDescent="0.35">
      <c r="A1080" s="6">
        <v>44990</v>
      </c>
      <c r="B1080" t="s">
        <v>10</v>
      </c>
      <c r="C1080" t="s">
        <v>19</v>
      </c>
      <c r="D1080" t="s">
        <v>28</v>
      </c>
      <c r="E1080" t="s">
        <v>42</v>
      </c>
      <c r="F1080" s="4">
        <v>7</v>
      </c>
      <c r="G1080" s="4">
        <v>13506.15</v>
      </c>
      <c r="H1080" s="4">
        <v>8915.32</v>
      </c>
      <c r="I1080" s="8">
        <v>0.05</v>
      </c>
      <c r="J1080" s="4">
        <v>4590.83</v>
      </c>
      <c r="K1080" s="4" t="str">
        <f t="shared" si="64"/>
        <v>March</v>
      </c>
      <c r="L1080">
        <f t="shared" si="65"/>
        <v>3</v>
      </c>
      <c r="M1080" s="9">
        <f t="shared" si="66"/>
        <v>0.33990663512547986</v>
      </c>
      <c r="N1080" s="9">
        <f t="shared" si="67"/>
        <v>1.2507381945048811E-4</v>
      </c>
    </row>
    <row r="1081" spans="1:14" x14ac:dyDescent="0.35">
      <c r="A1081" s="6">
        <v>45092</v>
      </c>
      <c r="B1081" t="s">
        <v>9</v>
      </c>
      <c r="C1081" t="s">
        <v>20</v>
      </c>
      <c r="D1081" t="s">
        <v>27</v>
      </c>
      <c r="E1081" t="s">
        <v>41</v>
      </c>
      <c r="F1081" s="4">
        <v>4</v>
      </c>
      <c r="G1081" s="4">
        <v>138715.20000000001</v>
      </c>
      <c r="H1081" s="4">
        <v>94420.3</v>
      </c>
      <c r="I1081" s="8">
        <v>0.1</v>
      </c>
      <c r="J1081" s="4">
        <v>44294.9</v>
      </c>
      <c r="K1081" s="4" t="str">
        <f t="shared" si="64"/>
        <v>June</v>
      </c>
      <c r="L1081">
        <f t="shared" si="65"/>
        <v>6</v>
      </c>
      <c r="M1081" s="9">
        <f t="shared" si="66"/>
        <v>0.31932261208576995</v>
      </c>
      <c r="N1081" s="9">
        <f t="shared" si="67"/>
        <v>1.2845733151074399E-3</v>
      </c>
    </row>
    <row r="1082" spans="1:14" x14ac:dyDescent="0.35">
      <c r="A1082" s="6">
        <v>45005</v>
      </c>
      <c r="B1082" t="s">
        <v>10</v>
      </c>
      <c r="C1082" t="s">
        <v>14</v>
      </c>
      <c r="D1082" t="s">
        <v>27</v>
      </c>
      <c r="E1082" t="s">
        <v>38</v>
      </c>
      <c r="F1082" s="4">
        <v>4</v>
      </c>
      <c r="G1082" s="4">
        <v>90783.4</v>
      </c>
      <c r="H1082" s="4">
        <v>54588.51</v>
      </c>
      <c r="I1082" s="8">
        <v>0.15</v>
      </c>
      <c r="J1082" s="4">
        <v>36194.89</v>
      </c>
      <c r="K1082" s="4" t="str">
        <f t="shared" si="64"/>
        <v>March</v>
      </c>
      <c r="L1082">
        <f t="shared" si="65"/>
        <v>3</v>
      </c>
      <c r="M1082" s="9">
        <f t="shared" si="66"/>
        <v>0.39869502574259175</v>
      </c>
      <c r="N1082" s="9">
        <f t="shared" si="67"/>
        <v>8.4070046465509717E-4</v>
      </c>
    </row>
    <row r="1083" spans="1:14" x14ac:dyDescent="0.35">
      <c r="A1083" s="6">
        <v>45150</v>
      </c>
      <c r="B1083" t="s">
        <v>12</v>
      </c>
      <c r="C1083" t="s">
        <v>21</v>
      </c>
      <c r="D1083" t="s">
        <v>28</v>
      </c>
      <c r="E1083" t="s">
        <v>44</v>
      </c>
      <c r="F1083" s="4">
        <v>4</v>
      </c>
      <c r="G1083" s="4">
        <v>188748</v>
      </c>
      <c r="H1083" s="4">
        <v>138505.70000000001</v>
      </c>
      <c r="I1083" s="8">
        <v>0</v>
      </c>
      <c r="J1083" s="4">
        <v>50242.3</v>
      </c>
      <c r="K1083" s="4" t="str">
        <f t="shared" si="64"/>
        <v>August</v>
      </c>
      <c r="L1083">
        <f t="shared" si="65"/>
        <v>8</v>
      </c>
      <c r="M1083" s="9">
        <f t="shared" si="66"/>
        <v>0.26618719138745844</v>
      </c>
      <c r="N1083" s="9">
        <f t="shared" si="67"/>
        <v>1.7479024943185682E-3</v>
      </c>
    </row>
    <row r="1084" spans="1:14" x14ac:dyDescent="0.35">
      <c r="A1084" s="6">
        <v>45108</v>
      </c>
      <c r="B1084" t="s">
        <v>10</v>
      </c>
      <c r="C1084" t="s">
        <v>19</v>
      </c>
      <c r="D1084" t="s">
        <v>26</v>
      </c>
      <c r="E1084" t="s">
        <v>35</v>
      </c>
      <c r="F1084" s="4">
        <v>4</v>
      </c>
      <c r="G1084" s="4">
        <v>169837.2</v>
      </c>
      <c r="H1084" s="4">
        <v>104546.44</v>
      </c>
      <c r="I1084" s="8">
        <v>0.05</v>
      </c>
      <c r="J1084" s="4">
        <v>65290.76</v>
      </c>
      <c r="K1084" s="4" t="str">
        <f t="shared" si="64"/>
        <v>July</v>
      </c>
      <c r="L1084">
        <f t="shared" si="65"/>
        <v>7</v>
      </c>
      <c r="M1084" s="9">
        <f t="shared" si="66"/>
        <v>0.38443144375908223</v>
      </c>
      <c r="N1084" s="9">
        <f t="shared" si="67"/>
        <v>1.5727788665738528E-3</v>
      </c>
    </row>
    <row r="1085" spans="1:14" x14ac:dyDescent="0.35">
      <c r="A1085" s="6">
        <v>45110</v>
      </c>
      <c r="B1085" t="s">
        <v>12</v>
      </c>
      <c r="C1085" t="s">
        <v>24</v>
      </c>
      <c r="D1085" t="s">
        <v>27</v>
      </c>
      <c r="E1085" t="s">
        <v>41</v>
      </c>
      <c r="F1085" s="4">
        <v>1</v>
      </c>
      <c r="G1085" s="4">
        <v>29749.25</v>
      </c>
      <c r="H1085" s="4">
        <v>17707.310000000001</v>
      </c>
      <c r="I1085" s="8">
        <v>0.05</v>
      </c>
      <c r="J1085" s="4">
        <v>12041.94</v>
      </c>
      <c r="K1085" s="4" t="str">
        <f t="shared" si="64"/>
        <v>July</v>
      </c>
      <c r="L1085">
        <f t="shared" si="65"/>
        <v>7</v>
      </c>
      <c r="M1085" s="9">
        <f t="shared" si="66"/>
        <v>0.40478129700748761</v>
      </c>
      <c r="N1085" s="9">
        <f t="shared" si="67"/>
        <v>2.7549318816149927E-4</v>
      </c>
    </row>
    <row r="1086" spans="1:14" x14ac:dyDescent="0.35">
      <c r="A1086" s="6">
        <v>45240</v>
      </c>
      <c r="B1086" t="s">
        <v>12</v>
      </c>
      <c r="C1086" t="s">
        <v>23</v>
      </c>
      <c r="D1086" t="s">
        <v>26</v>
      </c>
      <c r="E1086" t="s">
        <v>34</v>
      </c>
      <c r="F1086" s="4">
        <v>3</v>
      </c>
      <c r="G1086" s="4">
        <v>104157.6</v>
      </c>
      <c r="H1086" s="4">
        <v>67147.13</v>
      </c>
      <c r="I1086" s="8">
        <v>0.2</v>
      </c>
      <c r="J1086" s="4">
        <v>37010.47</v>
      </c>
      <c r="K1086" s="4" t="str">
        <f t="shared" si="64"/>
        <v>November</v>
      </c>
      <c r="L1086">
        <f t="shared" si="65"/>
        <v>11</v>
      </c>
      <c r="M1086" s="9">
        <f t="shared" si="66"/>
        <v>0.35533144004854184</v>
      </c>
      <c r="N1086" s="9">
        <f t="shared" si="67"/>
        <v>9.6455235998387109E-4</v>
      </c>
    </row>
    <row r="1087" spans="1:14" x14ac:dyDescent="0.35">
      <c r="A1087" s="6">
        <v>45260</v>
      </c>
      <c r="B1087" t="s">
        <v>9</v>
      </c>
      <c r="C1087" t="s">
        <v>13</v>
      </c>
      <c r="D1087" t="s">
        <v>26</v>
      </c>
      <c r="E1087" t="s">
        <v>34</v>
      </c>
      <c r="F1087" s="4">
        <v>6</v>
      </c>
      <c r="G1087" s="4">
        <v>241504.2</v>
      </c>
      <c r="H1087" s="4">
        <v>172483.22</v>
      </c>
      <c r="I1087" s="8">
        <v>0.1</v>
      </c>
      <c r="J1087" s="4">
        <v>69020.98</v>
      </c>
      <c r="K1087" s="4" t="str">
        <f t="shared" si="64"/>
        <v>November</v>
      </c>
      <c r="L1087">
        <f t="shared" si="65"/>
        <v>11</v>
      </c>
      <c r="M1087" s="9">
        <f t="shared" si="66"/>
        <v>0.28579618905178455</v>
      </c>
      <c r="N1087" s="9">
        <f t="shared" si="67"/>
        <v>2.2364517428974631E-3</v>
      </c>
    </row>
    <row r="1088" spans="1:14" x14ac:dyDescent="0.35">
      <c r="A1088" s="6">
        <v>44980</v>
      </c>
      <c r="B1088" t="s">
        <v>9</v>
      </c>
      <c r="C1088" t="s">
        <v>13</v>
      </c>
      <c r="D1088" t="s">
        <v>28</v>
      </c>
      <c r="E1088" t="s">
        <v>36</v>
      </c>
      <c r="F1088" s="4">
        <v>3</v>
      </c>
      <c r="G1088" s="4">
        <v>7227</v>
      </c>
      <c r="H1088" s="4">
        <v>4089.76</v>
      </c>
      <c r="I1088" s="8">
        <v>0</v>
      </c>
      <c r="J1088" s="4">
        <v>3137.24</v>
      </c>
      <c r="K1088" s="4" t="str">
        <f t="shared" si="64"/>
        <v>February</v>
      </c>
      <c r="L1088">
        <f t="shared" si="65"/>
        <v>2</v>
      </c>
      <c r="M1088" s="9">
        <f t="shared" si="66"/>
        <v>0.434099903140999</v>
      </c>
      <c r="N1088" s="9">
        <f t="shared" si="67"/>
        <v>6.6925696306399489E-5</v>
      </c>
    </row>
    <row r="1089" spans="1:14" x14ac:dyDescent="0.35">
      <c r="A1089" s="6">
        <v>45138</v>
      </c>
      <c r="B1089" t="s">
        <v>11</v>
      </c>
      <c r="C1089" t="s">
        <v>18</v>
      </c>
      <c r="D1089" t="s">
        <v>28</v>
      </c>
      <c r="E1089" t="s">
        <v>42</v>
      </c>
      <c r="F1089" s="4">
        <v>2</v>
      </c>
      <c r="G1089" s="4">
        <v>39890</v>
      </c>
      <c r="H1089" s="4">
        <v>29131.91</v>
      </c>
      <c r="I1089" s="8">
        <v>0</v>
      </c>
      <c r="J1089" s="4">
        <v>10758.09</v>
      </c>
      <c r="K1089" s="4" t="str">
        <f t="shared" si="64"/>
        <v>July</v>
      </c>
      <c r="L1089">
        <f t="shared" si="65"/>
        <v>7</v>
      </c>
      <c r="M1089" s="9">
        <f t="shared" si="66"/>
        <v>0.26969390824768114</v>
      </c>
      <c r="N1089" s="9">
        <f t="shared" si="67"/>
        <v>3.6940169166490601E-4</v>
      </c>
    </row>
    <row r="1090" spans="1:14" x14ac:dyDescent="0.35">
      <c r="A1090" s="6">
        <v>44971</v>
      </c>
      <c r="B1090" t="s">
        <v>10</v>
      </c>
      <c r="C1090" t="s">
        <v>14</v>
      </c>
      <c r="D1090" t="s">
        <v>26</v>
      </c>
      <c r="E1090" t="s">
        <v>30</v>
      </c>
      <c r="F1090" s="4">
        <v>4</v>
      </c>
      <c r="G1090" s="4">
        <v>36168.400000000001</v>
      </c>
      <c r="H1090" s="4">
        <v>24293.87</v>
      </c>
      <c r="I1090" s="8">
        <v>0.05</v>
      </c>
      <c r="J1090" s="4">
        <v>11874.53</v>
      </c>
      <c r="K1090" s="4" t="str">
        <f t="shared" si="64"/>
        <v>February</v>
      </c>
      <c r="L1090">
        <f t="shared" si="65"/>
        <v>2</v>
      </c>
      <c r="M1090" s="9">
        <f t="shared" si="66"/>
        <v>0.3283122836509218</v>
      </c>
      <c r="N1090" s="9">
        <f t="shared" si="67"/>
        <v>3.3493778252226091E-4</v>
      </c>
    </row>
    <row r="1091" spans="1:14" x14ac:dyDescent="0.35">
      <c r="A1091" s="6">
        <v>45086</v>
      </c>
      <c r="B1091" t="s">
        <v>11</v>
      </c>
      <c r="C1091" t="s">
        <v>17</v>
      </c>
      <c r="D1091" t="s">
        <v>25</v>
      </c>
      <c r="E1091" t="s">
        <v>32</v>
      </c>
      <c r="F1091" s="4">
        <v>3</v>
      </c>
      <c r="G1091" s="4">
        <v>48725.4</v>
      </c>
      <c r="H1091" s="4">
        <v>35646.33</v>
      </c>
      <c r="I1091" s="8">
        <v>0.15</v>
      </c>
      <c r="J1091" s="4">
        <v>13079.07</v>
      </c>
      <c r="K1091" s="4" t="str">
        <f t="shared" ref="K1091:K1154" si="68">TEXT(A1091,"mmmm")</f>
        <v>June</v>
      </c>
      <c r="L1091">
        <f t="shared" ref="L1091:L1154" si="69">MONTH(A1091)</f>
        <v>6</v>
      </c>
      <c r="M1091" s="9">
        <f t="shared" ref="M1091:M1154" si="70">J1091/G1091</f>
        <v>0.26842406629807042</v>
      </c>
      <c r="N1091" s="9">
        <f t="shared" ref="N1091:N1154" si="71">G1091/SUM(G:G)</f>
        <v>4.5122199014914044E-4</v>
      </c>
    </row>
    <row r="1092" spans="1:14" x14ac:dyDescent="0.35">
      <c r="A1092" s="6">
        <v>45071</v>
      </c>
      <c r="B1092" t="s">
        <v>10</v>
      </c>
      <c r="C1092" t="s">
        <v>22</v>
      </c>
      <c r="D1092" t="s">
        <v>28</v>
      </c>
      <c r="E1092" t="s">
        <v>36</v>
      </c>
      <c r="F1092" s="4">
        <v>3</v>
      </c>
      <c r="G1092" s="4">
        <v>61183.8</v>
      </c>
      <c r="H1092" s="4">
        <v>45180.69</v>
      </c>
      <c r="I1092" s="8">
        <v>0.05</v>
      </c>
      <c r="J1092" s="4">
        <v>16003.11</v>
      </c>
      <c r="K1092" s="4" t="str">
        <f t="shared" si="68"/>
        <v>May</v>
      </c>
      <c r="L1092">
        <f t="shared" si="69"/>
        <v>5</v>
      </c>
      <c r="M1092" s="9">
        <f t="shared" si="70"/>
        <v>0.2615579614211605</v>
      </c>
      <c r="N1092" s="9">
        <f t="shared" si="71"/>
        <v>5.6659311161913462E-4</v>
      </c>
    </row>
    <row r="1093" spans="1:14" x14ac:dyDescent="0.35">
      <c r="A1093" s="6">
        <v>45246</v>
      </c>
      <c r="B1093" t="s">
        <v>11</v>
      </c>
      <c r="C1093" t="s">
        <v>18</v>
      </c>
      <c r="D1093" t="s">
        <v>26</v>
      </c>
      <c r="E1093" t="s">
        <v>43</v>
      </c>
      <c r="F1093" s="4">
        <v>3</v>
      </c>
      <c r="G1093" s="4">
        <v>60710.7</v>
      </c>
      <c r="H1093" s="4">
        <v>38851.65</v>
      </c>
      <c r="I1093" s="8">
        <v>0.05</v>
      </c>
      <c r="J1093" s="4">
        <v>21859.05</v>
      </c>
      <c r="K1093" s="4" t="str">
        <f t="shared" si="68"/>
        <v>November</v>
      </c>
      <c r="L1093">
        <f t="shared" si="69"/>
        <v>11</v>
      </c>
      <c r="M1093" s="9">
        <f t="shared" si="70"/>
        <v>0.36005267605216212</v>
      </c>
      <c r="N1093" s="9">
        <f t="shared" si="71"/>
        <v>5.6221196495764879E-4</v>
      </c>
    </row>
    <row r="1094" spans="1:14" x14ac:dyDescent="0.35">
      <c r="A1094" s="6">
        <v>45103</v>
      </c>
      <c r="B1094" t="s">
        <v>9</v>
      </c>
      <c r="C1094" t="s">
        <v>15</v>
      </c>
      <c r="D1094" t="s">
        <v>28</v>
      </c>
      <c r="E1094" t="s">
        <v>44</v>
      </c>
      <c r="F1094" s="4">
        <v>2</v>
      </c>
      <c r="G1094" s="4">
        <v>5830.2</v>
      </c>
      <c r="H1094" s="4">
        <v>3825.15</v>
      </c>
      <c r="I1094" s="8">
        <v>0.1</v>
      </c>
      <c r="J1094" s="4">
        <v>2005.05</v>
      </c>
      <c r="K1094" s="4" t="str">
        <f t="shared" si="68"/>
        <v>June</v>
      </c>
      <c r="L1094">
        <f t="shared" si="69"/>
        <v>6</v>
      </c>
      <c r="M1094" s="9">
        <f t="shared" si="70"/>
        <v>0.34390758464546672</v>
      </c>
      <c r="N1094" s="9">
        <f t="shared" si="71"/>
        <v>5.3990617767478946E-5</v>
      </c>
    </row>
    <row r="1095" spans="1:14" x14ac:dyDescent="0.35">
      <c r="A1095" s="6">
        <v>45203</v>
      </c>
      <c r="B1095" t="s">
        <v>12</v>
      </c>
      <c r="C1095" t="s">
        <v>23</v>
      </c>
      <c r="D1095" t="s">
        <v>28</v>
      </c>
      <c r="E1095" t="s">
        <v>42</v>
      </c>
      <c r="F1095" s="4">
        <v>6</v>
      </c>
      <c r="G1095" s="4">
        <v>118524</v>
      </c>
      <c r="H1095" s="4">
        <v>76705.02</v>
      </c>
      <c r="I1095" s="8">
        <v>0</v>
      </c>
      <c r="J1095" s="4">
        <v>41818.980000000003</v>
      </c>
      <c r="K1095" s="4" t="str">
        <f t="shared" si="68"/>
        <v>October</v>
      </c>
      <c r="L1095">
        <f t="shared" si="69"/>
        <v>10</v>
      </c>
      <c r="M1095" s="9">
        <f t="shared" si="70"/>
        <v>0.35283132530120487</v>
      </c>
      <c r="N1095" s="9">
        <f t="shared" si="71"/>
        <v>1.0975925320353803E-3</v>
      </c>
    </row>
    <row r="1096" spans="1:14" x14ac:dyDescent="0.35">
      <c r="A1096" s="6">
        <v>45253</v>
      </c>
      <c r="B1096" t="s">
        <v>12</v>
      </c>
      <c r="C1096" t="s">
        <v>21</v>
      </c>
      <c r="D1096" t="s">
        <v>27</v>
      </c>
      <c r="E1096" t="s">
        <v>40</v>
      </c>
      <c r="F1096" s="4">
        <v>7</v>
      </c>
      <c r="G1096" s="4">
        <v>234507</v>
      </c>
      <c r="H1096" s="4">
        <v>185433.95</v>
      </c>
      <c r="I1096" s="8">
        <v>0</v>
      </c>
      <c r="J1096" s="4">
        <v>49073.05</v>
      </c>
      <c r="K1096" s="4" t="str">
        <f t="shared" si="68"/>
        <v>November</v>
      </c>
      <c r="L1096">
        <f t="shared" si="69"/>
        <v>11</v>
      </c>
      <c r="M1096" s="9">
        <f t="shared" si="70"/>
        <v>0.20926049115804646</v>
      </c>
      <c r="N1096" s="9">
        <f t="shared" si="71"/>
        <v>2.1716541114881454E-3</v>
      </c>
    </row>
    <row r="1097" spans="1:14" x14ac:dyDescent="0.35">
      <c r="A1097" s="6">
        <v>45154</v>
      </c>
      <c r="B1097" t="s">
        <v>12</v>
      </c>
      <c r="C1097" t="s">
        <v>21</v>
      </c>
      <c r="D1097" t="s">
        <v>28</v>
      </c>
      <c r="E1097" t="s">
        <v>44</v>
      </c>
      <c r="F1097" s="4">
        <v>3</v>
      </c>
      <c r="G1097" s="4">
        <v>9945</v>
      </c>
      <c r="H1097" s="4">
        <v>7106.7</v>
      </c>
      <c r="I1097" s="8">
        <v>0.15</v>
      </c>
      <c r="J1097" s="4">
        <v>2838.3</v>
      </c>
      <c r="K1097" s="4" t="str">
        <f t="shared" si="68"/>
        <v>August</v>
      </c>
      <c r="L1097">
        <f t="shared" si="69"/>
        <v>8</v>
      </c>
      <c r="M1097" s="9">
        <f t="shared" si="70"/>
        <v>0.28539969834087481</v>
      </c>
      <c r="N1097" s="9">
        <f t="shared" si="71"/>
        <v>9.2095758927237167E-5</v>
      </c>
    </row>
    <row r="1098" spans="1:14" x14ac:dyDescent="0.35">
      <c r="A1098" s="6">
        <v>45006</v>
      </c>
      <c r="B1098" t="s">
        <v>11</v>
      </c>
      <c r="C1098" t="s">
        <v>16</v>
      </c>
      <c r="D1098" t="s">
        <v>27</v>
      </c>
      <c r="E1098" t="s">
        <v>40</v>
      </c>
      <c r="F1098" s="4">
        <v>3</v>
      </c>
      <c r="G1098" s="4">
        <v>94533.6</v>
      </c>
      <c r="H1098" s="4">
        <v>53230.28</v>
      </c>
      <c r="I1098" s="8">
        <v>0.2</v>
      </c>
      <c r="J1098" s="4">
        <v>41303.32</v>
      </c>
      <c r="K1098" s="4" t="str">
        <f t="shared" si="68"/>
        <v>March</v>
      </c>
      <c r="L1098">
        <f t="shared" si="69"/>
        <v>3</v>
      </c>
      <c r="M1098" s="9">
        <f t="shared" si="70"/>
        <v>0.43691682110910829</v>
      </c>
      <c r="N1098" s="9">
        <f t="shared" si="71"/>
        <v>8.7542922434629138E-4</v>
      </c>
    </row>
    <row r="1099" spans="1:14" x14ac:dyDescent="0.35">
      <c r="A1099" s="6">
        <v>45285</v>
      </c>
      <c r="B1099" t="s">
        <v>12</v>
      </c>
      <c r="C1099" t="s">
        <v>24</v>
      </c>
      <c r="D1099" t="s">
        <v>25</v>
      </c>
      <c r="E1099" t="s">
        <v>29</v>
      </c>
      <c r="F1099" s="4">
        <v>7</v>
      </c>
      <c r="G1099" s="4">
        <v>169808.8</v>
      </c>
      <c r="H1099" s="4">
        <v>125116.66</v>
      </c>
      <c r="I1099" s="8">
        <v>0.2</v>
      </c>
      <c r="J1099" s="4">
        <v>44692.14</v>
      </c>
      <c r="K1099" s="4" t="str">
        <f t="shared" si="68"/>
        <v>December</v>
      </c>
      <c r="L1099">
        <f t="shared" si="69"/>
        <v>12</v>
      </c>
      <c r="M1099" s="9">
        <f t="shared" si="70"/>
        <v>0.26319095359015554</v>
      </c>
      <c r="N1099" s="9">
        <f t="shared" si="71"/>
        <v>1.5725158681270416E-3</v>
      </c>
    </row>
    <row r="1100" spans="1:14" x14ac:dyDescent="0.35">
      <c r="A1100" s="6">
        <v>44942</v>
      </c>
      <c r="B1100" t="s">
        <v>9</v>
      </c>
      <c r="C1100" t="s">
        <v>13</v>
      </c>
      <c r="D1100" t="s">
        <v>25</v>
      </c>
      <c r="E1100" t="s">
        <v>32</v>
      </c>
      <c r="F1100" s="4">
        <v>7</v>
      </c>
      <c r="G1100" s="4">
        <v>275328.90000000002</v>
      </c>
      <c r="H1100" s="4">
        <v>183898.97</v>
      </c>
      <c r="I1100" s="8">
        <v>0.1</v>
      </c>
      <c r="J1100" s="4">
        <v>91429.93</v>
      </c>
      <c r="K1100" s="4" t="str">
        <f t="shared" si="68"/>
        <v>January</v>
      </c>
      <c r="L1100">
        <f t="shared" si="69"/>
        <v>1</v>
      </c>
      <c r="M1100" s="9">
        <f t="shared" si="70"/>
        <v>0.33207531065572843</v>
      </c>
      <c r="N1100" s="9">
        <f t="shared" si="71"/>
        <v>2.5496856712017486E-3</v>
      </c>
    </row>
    <row r="1101" spans="1:14" x14ac:dyDescent="0.35">
      <c r="A1101" s="6">
        <v>45028</v>
      </c>
      <c r="B1101" t="s">
        <v>9</v>
      </c>
      <c r="C1101" t="s">
        <v>13</v>
      </c>
      <c r="D1101" t="s">
        <v>27</v>
      </c>
      <c r="E1101" t="s">
        <v>38</v>
      </c>
      <c r="F1101" s="4">
        <v>5</v>
      </c>
      <c r="G1101" s="4">
        <v>119267.75</v>
      </c>
      <c r="H1101" s="4">
        <v>90501.68</v>
      </c>
      <c r="I1101" s="8">
        <v>0.15</v>
      </c>
      <c r="J1101" s="4">
        <v>28766.07</v>
      </c>
      <c r="K1101" s="4" t="str">
        <f t="shared" si="68"/>
        <v>April</v>
      </c>
      <c r="L1101">
        <f t="shared" si="69"/>
        <v>4</v>
      </c>
      <c r="M1101" s="9">
        <f t="shared" si="70"/>
        <v>0.24118900541009619</v>
      </c>
      <c r="N1101" s="9">
        <f t="shared" si="71"/>
        <v>1.1044800353739558E-3</v>
      </c>
    </row>
    <row r="1102" spans="1:14" x14ac:dyDescent="0.35">
      <c r="A1102" s="6">
        <v>44987</v>
      </c>
      <c r="B1102" t="s">
        <v>11</v>
      </c>
      <c r="C1102" t="s">
        <v>16</v>
      </c>
      <c r="D1102" t="s">
        <v>27</v>
      </c>
      <c r="E1102" t="s">
        <v>41</v>
      </c>
      <c r="F1102" s="4">
        <v>1</v>
      </c>
      <c r="G1102" s="4">
        <v>18418.5</v>
      </c>
      <c r="H1102" s="4">
        <v>14394.95</v>
      </c>
      <c r="I1102" s="8">
        <v>0.1</v>
      </c>
      <c r="J1102" s="4">
        <v>4023.55</v>
      </c>
      <c r="K1102" s="4" t="str">
        <f t="shared" si="68"/>
        <v>March</v>
      </c>
      <c r="L1102">
        <f t="shared" si="69"/>
        <v>3</v>
      </c>
      <c r="M1102" s="9">
        <f t="shared" si="70"/>
        <v>0.21845155685859327</v>
      </c>
      <c r="N1102" s="9">
        <f t="shared" si="71"/>
        <v>1.7056467931637182E-4</v>
      </c>
    </row>
    <row r="1103" spans="1:14" x14ac:dyDescent="0.35">
      <c r="A1103" s="6">
        <v>45285</v>
      </c>
      <c r="B1103" t="s">
        <v>10</v>
      </c>
      <c r="C1103" t="s">
        <v>22</v>
      </c>
      <c r="D1103" t="s">
        <v>27</v>
      </c>
      <c r="E1103" t="s">
        <v>40</v>
      </c>
      <c r="F1103" s="4">
        <v>3</v>
      </c>
      <c r="G1103" s="4">
        <v>46464.3</v>
      </c>
      <c r="H1103" s="4">
        <v>35873.599999999999</v>
      </c>
      <c r="I1103" s="8">
        <v>0.1</v>
      </c>
      <c r="J1103" s="4">
        <v>10590.7</v>
      </c>
      <c r="K1103" s="4" t="str">
        <f t="shared" si="68"/>
        <v>December</v>
      </c>
      <c r="L1103">
        <f t="shared" si="69"/>
        <v>12</v>
      </c>
      <c r="M1103" s="9">
        <f t="shared" si="70"/>
        <v>0.22793198218847588</v>
      </c>
      <c r="N1103" s="9">
        <f t="shared" si="71"/>
        <v>4.3028305394900211E-4</v>
      </c>
    </row>
    <row r="1104" spans="1:14" x14ac:dyDescent="0.35">
      <c r="A1104" s="6">
        <v>45018</v>
      </c>
      <c r="B1104" t="s">
        <v>10</v>
      </c>
      <c r="C1104" t="s">
        <v>22</v>
      </c>
      <c r="D1104" t="s">
        <v>26</v>
      </c>
      <c r="E1104" t="s">
        <v>34</v>
      </c>
      <c r="F1104" s="4">
        <v>6</v>
      </c>
      <c r="G1104" s="4">
        <v>123480</v>
      </c>
      <c r="H1104" s="4">
        <v>97775.42</v>
      </c>
      <c r="I1104" s="8">
        <v>0</v>
      </c>
      <c r="J1104" s="4">
        <v>25704.58</v>
      </c>
      <c r="K1104" s="4" t="str">
        <f t="shared" si="68"/>
        <v>April</v>
      </c>
      <c r="L1104">
        <f t="shared" si="69"/>
        <v>4</v>
      </c>
      <c r="M1104" s="9">
        <f t="shared" si="70"/>
        <v>0.20816796242306448</v>
      </c>
      <c r="N1104" s="9">
        <f t="shared" si="71"/>
        <v>1.1434876131056052E-3</v>
      </c>
    </row>
    <row r="1105" spans="1:14" x14ac:dyDescent="0.35">
      <c r="A1105" s="6">
        <v>44944</v>
      </c>
      <c r="B1105" t="s">
        <v>10</v>
      </c>
      <c r="C1105" t="s">
        <v>22</v>
      </c>
      <c r="D1105" t="s">
        <v>27</v>
      </c>
      <c r="E1105" t="s">
        <v>38</v>
      </c>
      <c r="F1105" s="4">
        <v>1</v>
      </c>
      <c r="G1105" s="4">
        <v>38514</v>
      </c>
      <c r="H1105" s="4">
        <v>26023.75</v>
      </c>
      <c r="I1105" s="8">
        <v>0</v>
      </c>
      <c r="J1105" s="4">
        <v>12490.25</v>
      </c>
      <c r="K1105" s="4" t="str">
        <f t="shared" si="68"/>
        <v>January</v>
      </c>
      <c r="L1105">
        <f t="shared" si="69"/>
        <v>1</v>
      </c>
      <c r="M1105" s="9">
        <f t="shared" si="70"/>
        <v>0.32430414914057226</v>
      </c>
      <c r="N1105" s="9">
        <f t="shared" si="71"/>
        <v>3.5665923170674835E-4</v>
      </c>
    </row>
    <row r="1106" spans="1:14" x14ac:dyDescent="0.35">
      <c r="A1106" s="6">
        <v>45121</v>
      </c>
      <c r="B1106" t="s">
        <v>10</v>
      </c>
      <c r="C1106" t="s">
        <v>22</v>
      </c>
      <c r="D1106" t="s">
        <v>27</v>
      </c>
      <c r="E1106" t="s">
        <v>38</v>
      </c>
      <c r="F1106" s="4">
        <v>5</v>
      </c>
      <c r="G1106" s="4">
        <v>188598</v>
      </c>
      <c r="H1106" s="4">
        <v>117619.3</v>
      </c>
      <c r="I1106" s="8">
        <v>0.15</v>
      </c>
      <c r="J1106" s="4">
        <v>70978.7</v>
      </c>
      <c r="K1106" s="4" t="str">
        <f t="shared" si="68"/>
        <v>July</v>
      </c>
      <c r="L1106">
        <f t="shared" si="69"/>
        <v>7</v>
      </c>
      <c r="M1106" s="9">
        <f t="shared" si="70"/>
        <v>0.37634916595085843</v>
      </c>
      <c r="N1106" s="9">
        <f t="shared" si="71"/>
        <v>1.7465134180149899E-3</v>
      </c>
    </row>
    <row r="1107" spans="1:14" x14ac:dyDescent="0.35">
      <c r="A1107" s="6">
        <v>45235</v>
      </c>
      <c r="B1107" t="s">
        <v>10</v>
      </c>
      <c r="C1107" t="s">
        <v>14</v>
      </c>
      <c r="D1107" t="s">
        <v>28</v>
      </c>
      <c r="E1107" t="s">
        <v>42</v>
      </c>
      <c r="F1107" s="4">
        <v>3</v>
      </c>
      <c r="G1107" s="4">
        <v>34200</v>
      </c>
      <c r="H1107" s="4">
        <v>21231.52</v>
      </c>
      <c r="I1107" s="8">
        <v>0.2</v>
      </c>
      <c r="J1107" s="4">
        <v>12968.48</v>
      </c>
      <c r="K1107" s="4" t="str">
        <f t="shared" si="68"/>
        <v>November</v>
      </c>
      <c r="L1107">
        <f t="shared" si="69"/>
        <v>11</v>
      </c>
      <c r="M1107" s="9">
        <f t="shared" si="70"/>
        <v>0.37919532163742686</v>
      </c>
      <c r="N1107" s="9">
        <f t="shared" si="71"/>
        <v>3.1670939721583822E-4</v>
      </c>
    </row>
    <row r="1108" spans="1:14" x14ac:dyDescent="0.35">
      <c r="A1108" s="6">
        <v>44932</v>
      </c>
      <c r="B1108" t="s">
        <v>12</v>
      </c>
      <c r="C1108" t="s">
        <v>24</v>
      </c>
      <c r="D1108" t="s">
        <v>27</v>
      </c>
      <c r="E1108" t="s">
        <v>38</v>
      </c>
      <c r="F1108" s="4">
        <v>2</v>
      </c>
      <c r="G1108" s="4">
        <v>9795.2000000000007</v>
      </c>
      <c r="H1108" s="4">
        <v>5852.47</v>
      </c>
      <c r="I1108" s="8">
        <v>0.2</v>
      </c>
      <c r="J1108" s="4">
        <v>3942.73</v>
      </c>
      <c r="K1108" s="4" t="str">
        <f t="shared" si="68"/>
        <v>January</v>
      </c>
      <c r="L1108">
        <f t="shared" si="69"/>
        <v>1</v>
      </c>
      <c r="M1108" s="9">
        <f t="shared" si="70"/>
        <v>0.40251653871283893</v>
      </c>
      <c r="N1108" s="9">
        <f t="shared" si="71"/>
        <v>9.0708534725397031E-5</v>
      </c>
    </row>
    <row r="1109" spans="1:14" x14ac:dyDescent="0.35">
      <c r="A1109" s="6">
        <v>45093</v>
      </c>
      <c r="B1109" t="s">
        <v>11</v>
      </c>
      <c r="C1109" t="s">
        <v>16</v>
      </c>
      <c r="D1109" t="s">
        <v>27</v>
      </c>
      <c r="E1109" t="s">
        <v>41</v>
      </c>
      <c r="F1109" s="4">
        <v>5</v>
      </c>
      <c r="G1109" s="4">
        <v>186770</v>
      </c>
      <c r="H1109" s="4">
        <v>137626.75</v>
      </c>
      <c r="I1109" s="8">
        <v>0</v>
      </c>
      <c r="J1109" s="4">
        <v>49143.25</v>
      </c>
      <c r="K1109" s="4" t="str">
        <f t="shared" si="68"/>
        <v>June</v>
      </c>
      <c r="L1109">
        <f t="shared" si="69"/>
        <v>6</v>
      </c>
      <c r="M1109" s="9">
        <f t="shared" si="70"/>
        <v>0.26312175402901966</v>
      </c>
      <c r="N1109" s="9">
        <f t="shared" si="71"/>
        <v>1.7295852081287164E-3</v>
      </c>
    </row>
    <row r="1110" spans="1:14" x14ac:dyDescent="0.35">
      <c r="A1110" s="6">
        <v>45164</v>
      </c>
      <c r="B1110" t="s">
        <v>11</v>
      </c>
      <c r="C1110" t="s">
        <v>16</v>
      </c>
      <c r="D1110" t="s">
        <v>28</v>
      </c>
      <c r="E1110" t="s">
        <v>44</v>
      </c>
      <c r="F1110" s="4">
        <v>4</v>
      </c>
      <c r="G1110" s="4">
        <v>155046.39999999999</v>
      </c>
      <c r="H1110" s="4">
        <v>123059.16</v>
      </c>
      <c r="I1110" s="8">
        <v>0.2</v>
      </c>
      <c r="J1110" s="4">
        <v>31987.24</v>
      </c>
      <c r="K1110" s="4" t="str">
        <f t="shared" si="68"/>
        <v>August</v>
      </c>
      <c r="L1110">
        <f t="shared" si="69"/>
        <v>8</v>
      </c>
      <c r="M1110" s="9">
        <f t="shared" si="70"/>
        <v>0.20630753116486422</v>
      </c>
      <c r="N1110" s="9">
        <f t="shared" si="71"/>
        <v>1.4358085346340859E-3</v>
      </c>
    </row>
    <row r="1111" spans="1:14" x14ac:dyDescent="0.35">
      <c r="A1111" s="6">
        <v>45005</v>
      </c>
      <c r="B1111" t="s">
        <v>11</v>
      </c>
      <c r="C1111" t="s">
        <v>16</v>
      </c>
      <c r="D1111" t="s">
        <v>26</v>
      </c>
      <c r="E1111" t="s">
        <v>30</v>
      </c>
      <c r="F1111" s="4">
        <v>3</v>
      </c>
      <c r="G1111" s="4">
        <v>121510.8</v>
      </c>
      <c r="H1111" s="4">
        <v>95443.87</v>
      </c>
      <c r="I1111" s="8">
        <v>0.1</v>
      </c>
      <c r="J1111" s="4">
        <v>26066.93</v>
      </c>
      <c r="K1111" s="4" t="str">
        <f t="shared" si="68"/>
        <v>March</v>
      </c>
      <c r="L1111">
        <f t="shared" si="69"/>
        <v>3</v>
      </c>
      <c r="M1111" s="9">
        <f t="shared" si="70"/>
        <v>0.2145235649835241</v>
      </c>
      <c r="N1111" s="9">
        <f t="shared" si="71"/>
        <v>1.1252518193922304E-3</v>
      </c>
    </row>
    <row r="1112" spans="1:14" x14ac:dyDescent="0.35">
      <c r="A1112" s="6">
        <v>45144</v>
      </c>
      <c r="B1112" t="s">
        <v>10</v>
      </c>
      <c r="C1112" t="s">
        <v>19</v>
      </c>
      <c r="D1112" t="s">
        <v>28</v>
      </c>
      <c r="E1112" t="s">
        <v>36</v>
      </c>
      <c r="F1112" s="4">
        <v>6</v>
      </c>
      <c r="G1112" s="4">
        <v>36482.400000000001</v>
      </c>
      <c r="H1112" s="4">
        <v>26623.21</v>
      </c>
      <c r="I1112" s="8">
        <v>0.1</v>
      </c>
      <c r="J1112" s="4">
        <v>9859.19</v>
      </c>
      <c r="K1112" s="4" t="str">
        <f t="shared" si="68"/>
        <v>August</v>
      </c>
      <c r="L1112">
        <f t="shared" si="69"/>
        <v>8</v>
      </c>
      <c r="M1112" s="9">
        <f t="shared" si="70"/>
        <v>0.27024510448873978</v>
      </c>
      <c r="N1112" s="9">
        <f t="shared" si="71"/>
        <v>3.3784558225108467E-4</v>
      </c>
    </row>
    <row r="1113" spans="1:14" x14ac:dyDescent="0.35">
      <c r="A1113" s="6">
        <v>45245</v>
      </c>
      <c r="B1113" t="s">
        <v>12</v>
      </c>
      <c r="C1113" t="s">
        <v>21</v>
      </c>
      <c r="D1113" t="s">
        <v>27</v>
      </c>
      <c r="E1113" t="s">
        <v>31</v>
      </c>
      <c r="F1113" s="4">
        <v>6</v>
      </c>
      <c r="G1113" s="4">
        <v>263406.59999999998</v>
      </c>
      <c r="H1113" s="4">
        <v>170161.92000000001</v>
      </c>
      <c r="I1113" s="8">
        <v>0.1</v>
      </c>
      <c r="J1113" s="4">
        <v>93244.68</v>
      </c>
      <c r="K1113" s="4" t="str">
        <f t="shared" si="68"/>
        <v>November</v>
      </c>
      <c r="L1113">
        <f t="shared" si="69"/>
        <v>11</v>
      </c>
      <c r="M1113" s="9">
        <f t="shared" si="70"/>
        <v>0.35399523018785406</v>
      </c>
      <c r="N1113" s="9">
        <f t="shared" si="71"/>
        <v>2.4392791084407429E-3</v>
      </c>
    </row>
    <row r="1114" spans="1:14" x14ac:dyDescent="0.35">
      <c r="A1114" s="6">
        <v>45222</v>
      </c>
      <c r="B1114" t="s">
        <v>12</v>
      </c>
      <c r="C1114" t="s">
        <v>24</v>
      </c>
      <c r="D1114" t="s">
        <v>25</v>
      </c>
      <c r="E1114" t="s">
        <v>37</v>
      </c>
      <c r="F1114" s="4">
        <v>7</v>
      </c>
      <c r="G1114" s="4">
        <v>237244.35</v>
      </c>
      <c r="H1114" s="4">
        <v>145430.68</v>
      </c>
      <c r="I1114" s="8">
        <v>0.15</v>
      </c>
      <c r="J1114" s="4">
        <v>91813.67</v>
      </c>
      <c r="K1114" s="4" t="str">
        <f t="shared" si="68"/>
        <v>October</v>
      </c>
      <c r="L1114">
        <f t="shared" si="69"/>
        <v>10</v>
      </c>
      <c r="M1114" s="9">
        <f t="shared" si="70"/>
        <v>0.3870004491150158</v>
      </c>
      <c r="N1114" s="9">
        <f t="shared" si="71"/>
        <v>2.1970033649521448E-3</v>
      </c>
    </row>
    <row r="1115" spans="1:14" x14ac:dyDescent="0.35">
      <c r="A1115" s="6">
        <v>45128</v>
      </c>
      <c r="B1115" t="s">
        <v>12</v>
      </c>
      <c r="C1115" t="s">
        <v>23</v>
      </c>
      <c r="D1115" t="s">
        <v>27</v>
      </c>
      <c r="E1115" t="s">
        <v>40</v>
      </c>
      <c r="F1115" s="4">
        <v>4</v>
      </c>
      <c r="G1115" s="4">
        <v>150264</v>
      </c>
      <c r="H1115" s="4">
        <v>102302.97</v>
      </c>
      <c r="I1115" s="8">
        <v>0</v>
      </c>
      <c r="J1115" s="4">
        <v>47961.03</v>
      </c>
      <c r="K1115" s="4" t="str">
        <f t="shared" si="68"/>
        <v>July</v>
      </c>
      <c r="L1115">
        <f t="shared" si="69"/>
        <v>7</v>
      </c>
      <c r="M1115" s="9">
        <f t="shared" si="70"/>
        <v>0.3191784459351541</v>
      </c>
      <c r="N1115" s="9">
        <f t="shared" si="71"/>
        <v>1.3915210778725354E-3</v>
      </c>
    </row>
    <row r="1116" spans="1:14" x14ac:dyDescent="0.35">
      <c r="A1116" s="6">
        <v>44949</v>
      </c>
      <c r="B1116" t="s">
        <v>10</v>
      </c>
      <c r="C1116" t="s">
        <v>22</v>
      </c>
      <c r="D1116" t="s">
        <v>26</v>
      </c>
      <c r="E1116" t="s">
        <v>34</v>
      </c>
      <c r="F1116" s="4">
        <v>4</v>
      </c>
      <c r="G1116" s="4">
        <v>16357.4</v>
      </c>
      <c r="H1116" s="4">
        <v>10257.530000000001</v>
      </c>
      <c r="I1116" s="8">
        <v>0.15</v>
      </c>
      <c r="J1116" s="4">
        <v>6099.87</v>
      </c>
      <c r="K1116" s="4" t="str">
        <f t="shared" si="68"/>
        <v>January</v>
      </c>
      <c r="L1116">
        <f t="shared" si="69"/>
        <v>1</v>
      </c>
      <c r="M1116" s="9">
        <f t="shared" si="70"/>
        <v>0.37291195422255369</v>
      </c>
      <c r="N1116" s="9">
        <f t="shared" si="71"/>
        <v>1.5147784485433776E-4</v>
      </c>
    </row>
    <row r="1117" spans="1:14" x14ac:dyDescent="0.35">
      <c r="A1117" s="6">
        <v>44948</v>
      </c>
      <c r="B1117" t="s">
        <v>9</v>
      </c>
      <c r="C1117" t="s">
        <v>20</v>
      </c>
      <c r="D1117" t="s">
        <v>27</v>
      </c>
      <c r="E1117" t="s">
        <v>38</v>
      </c>
      <c r="F1117" s="4">
        <v>5</v>
      </c>
      <c r="G1117" s="4">
        <v>207965</v>
      </c>
      <c r="H1117" s="4">
        <v>119675.92</v>
      </c>
      <c r="I1117" s="8">
        <v>0</v>
      </c>
      <c r="J1117" s="4">
        <v>88289.08</v>
      </c>
      <c r="K1117" s="4" t="str">
        <f t="shared" si="68"/>
        <v>January</v>
      </c>
      <c r="L1117">
        <f t="shared" si="69"/>
        <v>1</v>
      </c>
      <c r="M1117" s="9">
        <f t="shared" si="70"/>
        <v>0.42453816748010481</v>
      </c>
      <c r="N1117" s="9">
        <f t="shared" si="71"/>
        <v>1.9258616898243214E-3</v>
      </c>
    </row>
    <row r="1118" spans="1:14" x14ac:dyDescent="0.35">
      <c r="A1118" s="6">
        <v>45284</v>
      </c>
      <c r="B1118" t="s">
        <v>12</v>
      </c>
      <c r="C1118" t="s">
        <v>23</v>
      </c>
      <c r="D1118" t="s">
        <v>27</v>
      </c>
      <c r="E1118" t="s">
        <v>40</v>
      </c>
      <c r="F1118" s="4">
        <v>2</v>
      </c>
      <c r="G1118" s="4">
        <v>81898.2</v>
      </c>
      <c r="H1118" s="4">
        <v>51303.12</v>
      </c>
      <c r="I1118" s="8">
        <v>0.1</v>
      </c>
      <c r="J1118" s="4">
        <v>30595.08</v>
      </c>
      <c r="K1118" s="4" t="str">
        <f t="shared" si="68"/>
        <v>December</v>
      </c>
      <c r="L1118">
        <f t="shared" si="69"/>
        <v>12</v>
      </c>
      <c r="M1118" s="9">
        <f t="shared" si="70"/>
        <v>0.37357451079510906</v>
      </c>
      <c r="N1118" s="9">
        <f t="shared" si="71"/>
        <v>7.5841899283807484E-4</v>
      </c>
    </row>
    <row r="1119" spans="1:14" x14ac:dyDescent="0.35">
      <c r="A1119" s="6">
        <v>45130</v>
      </c>
      <c r="B1119" t="s">
        <v>12</v>
      </c>
      <c r="C1119" t="s">
        <v>24</v>
      </c>
      <c r="D1119" t="s">
        <v>28</v>
      </c>
      <c r="E1119" t="s">
        <v>42</v>
      </c>
      <c r="F1119" s="4">
        <v>2</v>
      </c>
      <c r="G1119" s="4">
        <v>34251.599999999999</v>
      </c>
      <c r="H1119" s="4">
        <v>27167.42</v>
      </c>
      <c r="I1119" s="8">
        <v>0.15</v>
      </c>
      <c r="J1119" s="4">
        <v>7084.18</v>
      </c>
      <c r="K1119" s="4" t="str">
        <f t="shared" si="68"/>
        <v>July</v>
      </c>
      <c r="L1119">
        <f t="shared" si="69"/>
        <v>7</v>
      </c>
      <c r="M1119" s="9">
        <f t="shared" si="70"/>
        <v>0.20682771023835383</v>
      </c>
      <c r="N1119" s="9">
        <f t="shared" si="71"/>
        <v>3.1718723946426913E-4</v>
      </c>
    </row>
    <row r="1120" spans="1:14" x14ac:dyDescent="0.35">
      <c r="A1120" s="6">
        <v>45213</v>
      </c>
      <c r="B1120" t="s">
        <v>10</v>
      </c>
      <c r="C1120" t="s">
        <v>22</v>
      </c>
      <c r="D1120" t="s">
        <v>26</v>
      </c>
      <c r="E1120" t="s">
        <v>34</v>
      </c>
      <c r="F1120" s="4">
        <v>2</v>
      </c>
      <c r="G1120" s="4">
        <v>31381.200000000001</v>
      </c>
      <c r="H1120" s="4">
        <v>23675.46</v>
      </c>
      <c r="I1120" s="8">
        <v>0.1</v>
      </c>
      <c r="J1120" s="4">
        <v>7705.74</v>
      </c>
      <c r="K1120" s="4" t="str">
        <f t="shared" si="68"/>
        <v>October</v>
      </c>
      <c r="L1120">
        <f t="shared" si="69"/>
        <v>10</v>
      </c>
      <c r="M1120" s="9">
        <f t="shared" si="70"/>
        <v>0.24555275132882107</v>
      </c>
      <c r="N1120" s="9">
        <f t="shared" si="71"/>
        <v>2.9060587531899598E-4</v>
      </c>
    </row>
    <row r="1121" spans="1:14" x14ac:dyDescent="0.35">
      <c r="A1121" s="6">
        <v>45237</v>
      </c>
      <c r="B1121" t="s">
        <v>12</v>
      </c>
      <c r="C1121" t="s">
        <v>23</v>
      </c>
      <c r="D1121" t="s">
        <v>28</v>
      </c>
      <c r="E1121" t="s">
        <v>39</v>
      </c>
      <c r="F1121" s="4">
        <v>2</v>
      </c>
      <c r="G1121" s="4">
        <v>12566</v>
      </c>
      <c r="H1121" s="4">
        <v>9760.2199999999993</v>
      </c>
      <c r="I1121" s="8">
        <v>0</v>
      </c>
      <c r="J1121" s="4">
        <v>2805.78</v>
      </c>
      <c r="K1121" s="4" t="str">
        <f t="shared" si="68"/>
        <v>November</v>
      </c>
      <c r="L1121">
        <f t="shared" si="69"/>
        <v>11</v>
      </c>
      <c r="M1121" s="9">
        <f t="shared" si="70"/>
        <v>0.22328346331370366</v>
      </c>
      <c r="N1121" s="9">
        <f t="shared" si="71"/>
        <v>1.1636755220509424E-4</v>
      </c>
    </row>
    <row r="1122" spans="1:14" x14ac:dyDescent="0.35">
      <c r="A1122" s="6">
        <v>45124</v>
      </c>
      <c r="B1122" t="s">
        <v>12</v>
      </c>
      <c r="C1122" t="s">
        <v>23</v>
      </c>
      <c r="D1122" t="s">
        <v>28</v>
      </c>
      <c r="E1122" t="s">
        <v>44</v>
      </c>
      <c r="F1122" s="4">
        <v>2</v>
      </c>
      <c r="G1122" s="4">
        <v>65824.2</v>
      </c>
      <c r="H1122" s="4">
        <v>46109.55</v>
      </c>
      <c r="I1122" s="8">
        <v>0.1</v>
      </c>
      <c r="J1122" s="4">
        <v>19714.650000000001</v>
      </c>
      <c r="K1122" s="4" t="str">
        <f t="shared" si="68"/>
        <v>July</v>
      </c>
      <c r="L1122">
        <f t="shared" si="69"/>
        <v>7</v>
      </c>
      <c r="M1122" s="9">
        <f t="shared" si="70"/>
        <v>0.29950458949747971</v>
      </c>
      <c r="N1122" s="9">
        <f t="shared" si="71"/>
        <v>6.095655761466309E-4</v>
      </c>
    </row>
    <row r="1123" spans="1:14" x14ac:dyDescent="0.35">
      <c r="A1123" s="6">
        <v>45229</v>
      </c>
      <c r="B1123" t="s">
        <v>9</v>
      </c>
      <c r="C1123" t="s">
        <v>15</v>
      </c>
      <c r="D1123" t="s">
        <v>25</v>
      </c>
      <c r="E1123" t="s">
        <v>29</v>
      </c>
      <c r="F1123" s="4">
        <v>5</v>
      </c>
      <c r="G1123" s="4">
        <v>126645.75</v>
      </c>
      <c r="H1123" s="4">
        <v>98031.94</v>
      </c>
      <c r="I1123" s="8">
        <v>0.15</v>
      </c>
      <c r="J1123" s="4">
        <v>28613.81</v>
      </c>
      <c r="K1123" s="4" t="str">
        <f t="shared" si="68"/>
        <v>October</v>
      </c>
      <c r="L1123">
        <f t="shared" si="69"/>
        <v>10</v>
      </c>
      <c r="M1123" s="9">
        <f t="shared" si="70"/>
        <v>0.22593580913690353</v>
      </c>
      <c r="N1123" s="9">
        <f t="shared" si="71"/>
        <v>1.1728040684926241E-3</v>
      </c>
    </row>
    <row r="1124" spans="1:14" x14ac:dyDescent="0.35">
      <c r="A1124" s="6">
        <v>45014</v>
      </c>
      <c r="B1124" t="s">
        <v>12</v>
      </c>
      <c r="C1124" t="s">
        <v>24</v>
      </c>
      <c r="D1124" t="s">
        <v>28</v>
      </c>
      <c r="E1124" t="s">
        <v>42</v>
      </c>
      <c r="F1124" s="4">
        <v>7</v>
      </c>
      <c r="G1124" s="4">
        <v>138778.85</v>
      </c>
      <c r="H1124" s="4">
        <v>87452.18</v>
      </c>
      <c r="I1124" s="8">
        <v>0.05</v>
      </c>
      <c r="J1124" s="4">
        <v>51326.67</v>
      </c>
      <c r="K1124" s="4" t="str">
        <f t="shared" si="68"/>
        <v>March</v>
      </c>
      <c r="L1124">
        <f t="shared" si="69"/>
        <v>3</v>
      </c>
      <c r="M1124" s="9">
        <f t="shared" si="70"/>
        <v>0.36984504483211955</v>
      </c>
      <c r="N1124" s="9">
        <f t="shared" si="71"/>
        <v>1.2851627464855915E-3</v>
      </c>
    </row>
    <row r="1125" spans="1:14" x14ac:dyDescent="0.35">
      <c r="A1125" s="6">
        <v>44991</v>
      </c>
      <c r="B1125" t="s">
        <v>10</v>
      </c>
      <c r="C1125" t="s">
        <v>19</v>
      </c>
      <c r="D1125" t="s">
        <v>25</v>
      </c>
      <c r="E1125" t="s">
        <v>32</v>
      </c>
      <c r="F1125" s="4">
        <v>7</v>
      </c>
      <c r="G1125" s="4">
        <v>315961.45</v>
      </c>
      <c r="H1125" s="4">
        <v>231395.59</v>
      </c>
      <c r="I1125" s="8">
        <v>0.05</v>
      </c>
      <c r="J1125" s="4">
        <v>84565.86</v>
      </c>
      <c r="K1125" s="4" t="str">
        <f t="shared" si="68"/>
        <v>March</v>
      </c>
      <c r="L1125">
        <f t="shared" si="69"/>
        <v>3</v>
      </c>
      <c r="M1125" s="9">
        <f t="shared" si="70"/>
        <v>0.26764613214681726</v>
      </c>
      <c r="N1125" s="9">
        <f t="shared" si="71"/>
        <v>2.9259637535948013E-3</v>
      </c>
    </row>
    <row r="1126" spans="1:14" x14ac:dyDescent="0.35">
      <c r="A1126" s="6">
        <v>45014</v>
      </c>
      <c r="B1126" t="s">
        <v>10</v>
      </c>
      <c r="C1126" t="s">
        <v>14</v>
      </c>
      <c r="D1126" t="s">
        <v>25</v>
      </c>
      <c r="E1126" t="s">
        <v>32</v>
      </c>
      <c r="F1126" s="4">
        <v>5</v>
      </c>
      <c r="G1126" s="4">
        <v>129564</v>
      </c>
      <c r="H1126" s="4">
        <v>100201.88</v>
      </c>
      <c r="I1126" s="8">
        <v>0.2</v>
      </c>
      <c r="J1126" s="4">
        <v>29362.12</v>
      </c>
      <c r="K1126" s="4" t="str">
        <f t="shared" si="68"/>
        <v>March</v>
      </c>
      <c r="L1126">
        <f t="shared" si="69"/>
        <v>3</v>
      </c>
      <c r="M1126" s="9">
        <f t="shared" si="70"/>
        <v>0.2266225186008459</v>
      </c>
      <c r="N1126" s="9">
        <f t="shared" si="71"/>
        <v>1.1998285479787386E-3</v>
      </c>
    </row>
    <row r="1127" spans="1:14" x14ac:dyDescent="0.35">
      <c r="A1127" s="6">
        <v>45279</v>
      </c>
      <c r="B1127" t="s">
        <v>11</v>
      </c>
      <c r="C1127" t="s">
        <v>17</v>
      </c>
      <c r="D1127" t="s">
        <v>26</v>
      </c>
      <c r="E1127" t="s">
        <v>34</v>
      </c>
      <c r="F1127" s="4">
        <v>4</v>
      </c>
      <c r="G1127" s="4">
        <v>47380</v>
      </c>
      <c r="H1127" s="4">
        <v>27602.62</v>
      </c>
      <c r="I1127" s="8">
        <v>0</v>
      </c>
      <c r="J1127" s="4">
        <v>19777.38</v>
      </c>
      <c r="K1127" s="4" t="str">
        <f t="shared" si="68"/>
        <v>December</v>
      </c>
      <c r="L1127">
        <f t="shared" si="69"/>
        <v>12</v>
      </c>
      <c r="M1127" s="9">
        <f t="shared" si="70"/>
        <v>0.41742043056141837</v>
      </c>
      <c r="N1127" s="9">
        <f t="shared" si="71"/>
        <v>4.3876290175691272E-4</v>
      </c>
    </row>
    <row r="1128" spans="1:14" x14ac:dyDescent="0.35">
      <c r="A1128" s="6">
        <v>45134</v>
      </c>
      <c r="B1128" t="s">
        <v>11</v>
      </c>
      <c r="C1128" t="s">
        <v>18</v>
      </c>
      <c r="D1128" t="s">
        <v>26</v>
      </c>
      <c r="E1128" t="s">
        <v>43</v>
      </c>
      <c r="F1128" s="4">
        <v>3</v>
      </c>
      <c r="G1128" s="4">
        <v>64002.45</v>
      </c>
      <c r="H1128" s="4">
        <v>37308.78</v>
      </c>
      <c r="I1128" s="8">
        <v>0.15</v>
      </c>
      <c r="J1128" s="4">
        <v>26693.67</v>
      </c>
      <c r="K1128" s="4" t="str">
        <f t="shared" si="68"/>
        <v>July</v>
      </c>
      <c r="L1128">
        <f t="shared" si="69"/>
        <v>7</v>
      </c>
      <c r="M1128" s="9">
        <f t="shared" si="70"/>
        <v>0.41707262768847131</v>
      </c>
      <c r="N1128" s="9">
        <f t="shared" si="71"/>
        <v>5.9269524443967322E-4</v>
      </c>
    </row>
    <row r="1129" spans="1:14" x14ac:dyDescent="0.35">
      <c r="A1129" s="6">
        <v>45089</v>
      </c>
      <c r="B1129" t="s">
        <v>11</v>
      </c>
      <c r="C1129" t="s">
        <v>16</v>
      </c>
      <c r="D1129" t="s">
        <v>26</v>
      </c>
      <c r="E1129" t="s">
        <v>34</v>
      </c>
      <c r="F1129" s="4">
        <v>2</v>
      </c>
      <c r="G1129" s="4">
        <v>59754</v>
      </c>
      <c r="H1129" s="4">
        <v>36348.17</v>
      </c>
      <c r="I1129" s="8">
        <v>0</v>
      </c>
      <c r="J1129" s="4">
        <v>23405.83</v>
      </c>
      <c r="K1129" s="4" t="str">
        <f t="shared" si="68"/>
        <v>June</v>
      </c>
      <c r="L1129">
        <f t="shared" si="69"/>
        <v>6</v>
      </c>
      <c r="M1129" s="9">
        <f t="shared" si="70"/>
        <v>0.39170314957994445</v>
      </c>
      <c r="N1129" s="9">
        <f t="shared" si="71"/>
        <v>5.5335243629342674E-4</v>
      </c>
    </row>
    <row r="1130" spans="1:14" x14ac:dyDescent="0.35">
      <c r="A1130" s="6">
        <v>45064</v>
      </c>
      <c r="B1130" t="s">
        <v>9</v>
      </c>
      <c r="C1130" t="s">
        <v>13</v>
      </c>
      <c r="D1130" t="s">
        <v>27</v>
      </c>
      <c r="E1130" t="s">
        <v>38</v>
      </c>
      <c r="F1130" s="4">
        <v>2</v>
      </c>
      <c r="G1130" s="4">
        <v>27316.3</v>
      </c>
      <c r="H1130" s="4">
        <v>17425.82</v>
      </c>
      <c r="I1130" s="8">
        <v>0.05</v>
      </c>
      <c r="J1130" s="4">
        <v>9890.48</v>
      </c>
      <c r="K1130" s="4" t="str">
        <f t="shared" si="68"/>
        <v>May</v>
      </c>
      <c r="L1130">
        <f t="shared" si="69"/>
        <v>5</v>
      </c>
      <c r="M1130" s="9">
        <f t="shared" si="70"/>
        <v>0.36207246222951134</v>
      </c>
      <c r="N1130" s="9">
        <f t="shared" si="71"/>
        <v>2.5296283354289478E-4</v>
      </c>
    </row>
    <row r="1131" spans="1:14" x14ac:dyDescent="0.35">
      <c r="A1131" s="6">
        <v>44982</v>
      </c>
      <c r="B1131" t="s">
        <v>9</v>
      </c>
      <c r="C1131" t="s">
        <v>20</v>
      </c>
      <c r="D1131" t="s">
        <v>28</v>
      </c>
      <c r="E1131" t="s">
        <v>44</v>
      </c>
      <c r="F1131" s="4">
        <v>7</v>
      </c>
      <c r="G1131" s="4">
        <v>265767.25</v>
      </c>
      <c r="H1131" s="4">
        <v>195397.61</v>
      </c>
      <c r="I1131" s="8">
        <v>0.05</v>
      </c>
      <c r="J1131" s="4">
        <v>70369.64</v>
      </c>
      <c r="K1131" s="4" t="str">
        <f t="shared" si="68"/>
        <v>February</v>
      </c>
      <c r="L1131">
        <f t="shared" si="69"/>
        <v>2</v>
      </c>
      <c r="M1131" s="9">
        <f t="shared" si="70"/>
        <v>0.26477920059751531</v>
      </c>
      <c r="N1131" s="9">
        <f t="shared" si="71"/>
        <v>2.4611399282810226E-3</v>
      </c>
    </row>
    <row r="1132" spans="1:14" x14ac:dyDescent="0.35">
      <c r="A1132" s="6">
        <v>44948</v>
      </c>
      <c r="B1132" t="s">
        <v>12</v>
      </c>
      <c r="C1132" t="s">
        <v>24</v>
      </c>
      <c r="D1132" t="s">
        <v>28</v>
      </c>
      <c r="E1132" t="s">
        <v>36</v>
      </c>
      <c r="F1132" s="4">
        <v>1</v>
      </c>
      <c r="G1132" s="4">
        <v>993.65</v>
      </c>
      <c r="H1132" s="4">
        <v>602.95000000000005</v>
      </c>
      <c r="I1132" s="8">
        <v>0.15</v>
      </c>
      <c r="J1132" s="4">
        <v>390.7</v>
      </c>
      <c r="K1132" s="4" t="str">
        <f t="shared" si="68"/>
        <v>January</v>
      </c>
      <c r="L1132">
        <f t="shared" si="69"/>
        <v>1</v>
      </c>
      <c r="M1132" s="9">
        <f t="shared" si="70"/>
        <v>0.39319679967795501</v>
      </c>
      <c r="N1132" s="9">
        <f t="shared" si="71"/>
        <v>9.2017044603367735E-6</v>
      </c>
    </row>
    <row r="1133" spans="1:14" x14ac:dyDescent="0.35">
      <c r="A1133" s="6">
        <v>45094</v>
      </c>
      <c r="B1133" t="s">
        <v>10</v>
      </c>
      <c r="C1133" t="s">
        <v>19</v>
      </c>
      <c r="D1133" t="s">
        <v>27</v>
      </c>
      <c r="E1133" t="s">
        <v>38</v>
      </c>
      <c r="F1133" s="4">
        <v>1</v>
      </c>
      <c r="G1133" s="4">
        <v>35056.800000000003</v>
      </c>
      <c r="H1133" s="4">
        <v>25078.46</v>
      </c>
      <c r="I1133" s="8">
        <v>0.1</v>
      </c>
      <c r="J1133" s="4">
        <v>9978.34</v>
      </c>
      <c r="K1133" s="4" t="str">
        <f t="shared" si="68"/>
        <v>June</v>
      </c>
      <c r="L1133">
        <f t="shared" si="69"/>
        <v>6</v>
      </c>
      <c r="M1133" s="9">
        <f t="shared" si="70"/>
        <v>0.28463350904817325</v>
      </c>
      <c r="N1133" s="9">
        <f t="shared" si="71"/>
        <v>3.2464380106187715E-4</v>
      </c>
    </row>
    <row r="1134" spans="1:14" x14ac:dyDescent="0.35">
      <c r="A1134" s="6">
        <v>45093</v>
      </c>
      <c r="B1134" t="s">
        <v>12</v>
      </c>
      <c r="C1134" t="s">
        <v>23</v>
      </c>
      <c r="D1134" t="s">
        <v>27</v>
      </c>
      <c r="E1134" t="s">
        <v>31</v>
      </c>
      <c r="F1134" s="4">
        <v>6</v>
      </c>
      <c r="G1134" s="4">
        <v>253964.7</v>
      </c>
      <c r="H1134" s="4">
        <v>147963.1</v>
      </c>
      <c r="I1134" s="8">
        <v>0.15</v>
      </c>
      <c r="J1134" s="4">
        <v>106001.60000000001</v>
      </c>
      <c r="K1134" s="4" t="str">
        <f t="shared" si="68"/>
        <v>June</v>
      </c>
      <c r="L1134">
        <f t="shared" si="69"/>
        <v>6</v>
      </c>
      <c r="M1134" s="9">
        <f t="shared" si="70"/>
        <v>0.41738714081130174</v>
      </c>
      <c r="N1134" s="9">
        <f t="shared" si="71"/>
        <v>2.3518423114357073E-3</v>
      </c>
    </row>
    <row r="1135" spans="1:14" x14ac:dyDescent="0.35">
      <c r="A1135" s="6">
        <v>44963</v>
      </c>
      <c r="B1135" t="s">
        <v>12</v>
      </c>
      <c r="C1135" t="s">
        <v>24</v>
      </c>
      <c r="D1135" t="s">
        <v>25</v>
      </c>
      <c r="E1135" t="s">
        <v>37</v>
      </c>
      <c r="F1135" s="4">
        <v>6</v>
      </c>
      <c r="G1135" s="4">
        <v>33033.599999999999</v>
      </c>
      <c r="H1135" s="4">
        <v>23051.68</v>
      </c>
      <c r="I1135" s="8">
        <v>0.2</v>
      </c>
      <c r="J1135" s="4">
        <v>9981.92</v>
      </c>
      <c r="K1135" s="4" t="str">
        <f t="shared" si="68"/>
        <v>February</v>
      </c>
      <c r="L1135">
        <f t="shared" si="69"/>
        <v>2</v>
      </c>
      <c r="M1135" s="9">
        <f t="shared" si="70"/>
        <v>0.30217475540056188</v>
      </c>
      <c r="N1135" s="9">
        <f t="shared" si="71"/>
        <v>3.059079398792138E-4</v>
      </c>
    </row>
    <row r="1136" spans="1:14" x14ac:dyDescent="0.35">
      <c r="A1136" s="6">
        <v>45254</v>
      </c>
      <c r="B1136" t="s">
        <v>9</v>
      </c>
      <c r="C1136" t="s">
        <v>15</v>
      </c>
      <c r="D1136" t="s">
        <v>28</v>
      </c>
      <c r="E1136" t="s">
        <v>39</v>
      </c>
      <c r="F1136" s="4">
        <v>5</v>
      </c>
      <c r="G1136" s="4">
        <v>203395</v>
      </c>
      <c r="H1136" s="4">
        <v>151864.04</v>
      </c>
      <c r="I1136" s="8">
        <v>0.05</v>
      </c>
      <c r="J1136" s="4">
        <v>51530.96</v>
      </c>
      <c r="K1136" s="4" t="str">
        <f t="shared" si="68"/>
        <v>November</v>
      </c>
      <c r="L1136">
        <f t="shared" si="69"/>
        <v>11</v>
      </c>
      <c r="M1136" s="9">
        <f t="shared" si="70"/>
        <v>0.25335411391627127</v>
      </c>
      <c r="N1136" s="9">
        <f t="shared" si="71"/>
        <v>1.8835411651086378E-3</v>
      </c>
    </row>
    <row r="1137" spans="1:14" x14ac:dyDescent="0.35">
      <c r="A1137" s="6">
        <v>45289</v>
      </c>
      <c r="B1137" t="s">
        <v>12</v>
      </c>
      <c r="C1137" t="s">
        <v>23</v>
      </c>
      <c r="D1137" t="s">
        <v>27</v>
      </c>
      <c r="E1137" t="s">
        <v>41</v>
      </c>
      <c r="F1137" s="4">
        <v>6</v>
      </c>
      <c r="G1137" s="4">
        <v>254439</v>
      </c>
      <c r="H1137" s="4">
        <v>140202.64000000001</v>
      </c>
      <c r="I1137" s="8">
        <v>0.15</v>
      </c>
      <c r="J1137" s="4">
        <v>114236.36</v>
      </c>
      <c r="K1137" s="4" t="str">
        <f t="shared" si="68"/>
        <v>December</v>
      </c>
      <c r="L1137">
        <f t="shared" si="69"/>
        <v>12</v>
      </c>
      <c r="M1137" s="9">
        <f t="shared" si="70"/>
        <v>0.44897346711785535</v>
      </c>
      <c r="N1137" s="9">
        <f t="shared" si="71"/>
        <v>2.3562345707076214E-3</v>
      </c>
    </row>
    <row r="1138" spans="1:14" x14ac:dyDescent="0.35">
      <c r="A1138" s="6">
        <v>45179</v>
      </c>
      <c r="B1138" t="s">
        <v>12</v>
      </c>
      <c r="C1138" t="s">
        <v>24</v>
      </c>
      <c r="D1138" t="s">
        <v>26</v>
      </c>
      <c r="E1138" t="s">
        <v>30</v>
      </c>
      <c r="F1138" s="4">
        <v>4</v>
      </c>
      <c r="G1138" s="4">
        <v>99307.199999999997</v>
      </c>
      <c r="H1138" s="4">
        <v>72216.179999999993</v>
      </c>
      <c r="I1138" s="8">
        <v>0.15</v>
      </c>
      <c r="J1138" s="4">
        <v>27091.02</v>
      </c>
      <c r="K1138" s="4" t="str">
        <f t="shared" si="68"/>
        <v>September</v>
      </c>
      <c r="L1138">
        <f t="shared" si="69"/>
        <v>9</v>
      </c>
      <c r="M1138" s="9">
        <f t="shared" si="70"/>
        <v>0.27280015950505099</v>
      </c>
      <c r="N1138" s="9">
        <f t="shared" si="71"/>
        <v>9.1963518863136511E-4</v>
      </c>
    </row>
    <row r="1139" spans="1:14" x14ac:dyDescent="0.35">
      <c r="A1139" s="6">
        <v>45051</v>
      </c>
      <c r="B1139" t="s">
        <v>9</v>
      </c>
      <c r="C1139" t="s">
        <v>20</v>
      </c>
      <c r="D1139" t="s">
        <v>26</v>
      </c>
      <c r="E1139" t="s">
        <v>43</v>
      </c>
      <c r="F1139" s="4">
        <v>2</v>
      </c>
      <c r="G1139" s="4">
        <v>69516</v>
      </c>
      <c r="H1139" s="4">
        <v>48143.08</v>
      </c>
      <c r="I1139" s="8">
        <v>0</v>
      </c>
      <c r="J1139" s="4">
        <v>21372.92</v>
      </c>
      <c r="K1139" s="4" t="str">
        <f t="shared" si="68"/>
        <v>May</v>
      </c>
      <c r="L1139">
        <f t="shared" si="69"/>
        <v>5</v>
      </c>
      <c r="M1139" s="9">
        <f t="shared" si="70"/>
        <v>0.30745324817308245</v>
      </c>
      <c r="N1139" s="9">
        <f t="shared" si="71"/>
        <v>6.4375352213029847E-4</v>
      </c>
    </row>
    <row r="1140" spans="1:14" x14ac:dyDescent="0.35">
      <c r="A1140" s="6">
        <v>45031</v>
      </c>
      <c r="B1140" t="s">
        <v>10</v>
      </c>
      <c r="C1140" t="s">
        <v>14</v>
      </c>
      <c r="D1140" t="s">
        <v>28</v>
      </c>
      <c r="E1140" t="s">
        <v>39</v>
      </c>
      <c r="F1140" s="4">
        <v>1</v>
      </c>
      <c r="G1140" s="4">
        <v>34256.699999999997</v>
      </c>
      <c r="H1140" s="4">
        <v>22334.46</v>
      </c>
      <c r="I1140" s="8">
        <v>0.1</v>
      </c>
      <c r="J1140" s="4">
        <v>11922.24</v>
      </c>
      <c r="K1140" s="4" t="str">
        <f t="shared" si="68"/>
        <v>April</v>
      </c>
      <c r="L1140">
        <f t="shared" si="69"/>
        <v>4</v>
      </c>
      <c r="M1140" s="9">
        <f t="shared" si="70"/>
        <v>0.34802651744038393</v>
      </c>
      <c r="N1140" s="9">
        <f t="shared" si="71"/>
        <v>3.1723446805859075E-4</v>
      </c>
    </row>
    <row r="1141" spans="1:14" x14ac:dyDescent="0.35">
      <c r="A1141" s="6">
        <v>45031</v>
      </c>
      <c r="B1141" t="s">
        <v>10</v>
      </c>
      <c r="C1141" t="s">
        <v>19</v>
      </c>
      <c r="D1141" t="s">
        <v>26</v>
      </c>
      <c r="E1141" t="s">
        <v>43</v>
      </c>
      <c r="F1141" s="4">
        <v>7</v>
      </c>
      <c r="G1141" s="4">
        <v>33855.5</v>
      </c>
      <c r="H1141" s="4">
        <v>22425.74</v>
      </c>
      <c r="I1141" s="8">
        <v>0.15</v>
      </c>
      <c r="J1141" s="4">
        <v>11429.76</v>
      </c>
      <c r="K1141" s="4" t="str">
        <f t="shared" si="68"/>
        <v>April</v>
      </c>
      <c r="L1141">
        <f t="shared" si="69"/>
        <v>4</v>
      </c>
      <c r="M1141" s="9">
        <f t="shared" si="70"/>
        <v>0.3376042297411056</v>
      </c>
      <c r="N1141" s="9">
        <f t="shared" si="71"/>
        <v>3.1351915197195353E-4</v>
      </c>
    </row>
    <row r="1142" spans="1:14" x14ac:dyDescent="0.35">
      <c r="A1142" s="6">
        <v>45114</v>
      </c>
      <c r="B1142" t="s">
        <v>10</v>
      </c>
      <c r="C1142" t="s">
        <v>22</v>
      </c>
      <c r="D1142" t="s">
        <v>28</v>
      </c>
      <c r="E1142" t="s">
        <v>42</v>
      </c>
      <c r="F1142" s="4">
        <v>1</v>
      </c>
      <c r="G1142" s="4">
        <v>7536</v>
      </c>
      <c r="H1142" s="4">
        <v>5271.79</v>
      </c>
      <c r="I1142" s="8">
        <v>0</v>
      </c>
      <c r="J1142" s="4">
        <v>2264.21</v>
      </c>
      <c r="K1142" s="4" t="str">
        <f t="shared" si="68"/>
        <v>July</v>
      </c>
      <c r="L1142">
        <f t="shared" si="69"/>
        <v>7</v>
      </c>
      <c r="M1142" s="9">
        <f t="shared" si="70"/>
        <v>0.30045249469214436</v>
      </c>
      <c r="N1142" s="9">
        <f t="shared" si="71"/>
        <v>6.9787193491770662E-5</v>
      </c>
    </row>
    <row r="1143" spans="1:14" x14ac:dyDescent="0.35">
      <c r="A1143" s="6">
        <v>45090</v>
      </c>
      <c r="B1143" t="s">
        <v>10</v>
      </c>
      <c r="C1143" t="s">
        <v>14</v>
      </c>
      <c r="D1143" t="s">
        <v>25</v>
      </c>
      <c r="E1143" t="s">
        <v>32</v>
      </c>
      <c r="F1143" s="4">
        <v>1</v>
      </c>
      <c r="G1143" s="4">
        <v>29120.799999999999</v>
      </c>
      <c r="H1143" s="4">
        <v>20091.86</v>
      </c>
      <c r="I1143" s="8">
        <v>0.2</v>
      </c>
      <c r="J1143" s="4">
        <v>9028.94</v>
      </c>
      <c r="K1143" s="4" t="str">
        <f t="shared" si="68"/>
        <v>June</v>
      </c>
      <c r="L1143">
        <f t="shared" si="69"/>
        <v>6</v>
      </c>
      <c r="M1143" s="9">
        <f t="shared" si="70"/>
        <v>0.3100512348561853</v>
      </c>
      <c r="N1143" s="9">
        <f t="shared" si="71"/>
        <v>2.6967342147494094E-4</v>
      </c>
    </row>
    <row r="1144" spans="1:14" x14ac:dyDescent="0.35">
      <c r="A1144" s="6">
        <v>45134</v>
      </c>
      <c r="B1144" t="s">
        <v>11</v>
      </c>
      <c r="C1144" t="s">
        <v>16</v>
      </c>
      <c r="D1144" t="s">
        <v>25</v>
      </c>
      <c r="E1144" t="s">
        <v>37</v>
      </c>
      <c r="F1144" s="4">
        <v>2</v>
      </c>
      <c r="G1144" s="4">
        <v>68849.600000000006</v>
      </c>
      <c r="H1144" s="4">
        <v>52842.5</v>
      </c>
      <c r="I1144" s="8">
        <v>0.2</v>
      </c>
      <c r="J1144" s="4">
        <v>16007.1</v>
      </c>
      <c r="K1144" s="4" t="str">
        <f t="shared" si="68"/>
        <v>July</v>
      </c>
      <c r="L1144">
        <f t="shared" si="69"/>
        <v>7</v>
      </c>
      <c r="M1144" s="9">
        <f t="shared" si="70"/>
        <v>0.23249372545374264</v>
      </c>
      <c r="N1144" s="9">
        <f t="shared" si="71"/>
        <v>6.3758231913893493E-4</v>
      </c>
    </row>
    <row r="1145" spans="1:14" x14ac:dyDescent="0.35">
      <c r="A1145" s="6">
        <v>44936</v>
      </c>
      <c r="B1145" t="s">
        <v>10</v>
      </c>
      <c r="C1145" t="s">
        <v>22</v>
      </c>
      <c r="D1145" t="s">
        <v>26</v>
      </c>
      <c r="E1145" t="s">
        <v>34</v>
      </c>
      <c r="F1145" s="4">
        <v>2</v>
      </c>
      <c r="G1145" s="4">
        <v>55027.199999999997</v>
      </c>
      <c r="H1145" s="4">
        <v>34566.89</v>
      </c>
      <c r="I1145" s="8">
        <v>0.2</v>
      </c>
      <c r="J1145" s="4">
        <v>20460.310000000001</v>
      </c>
      <c r="K1145" s="4" t="str">
        <f t="shared" si="68"/>
        <v>January</v>
      </c>
      <c r="L1145">
        <f t="shared" si="69"/>
        <v>1</v>
      </c>
      <c r="M1145" s="9">
        <f t="shared" si="70"/>
        <v>0.37182175360548969</v>
      </c>
      <c r="N1145" s="9">
        <f t="shared" si="71"/>
        <v>5.095798638150693E-4</v>
      </c>
    </row>
    <row r="1146" spans="1:14" x14ac:dyDescent="0.35">
      <c r="A1146" s="6">
        <v>45064</v>
      </c>
      <c r="B1146" t="s">
        <v>10</v>
      </c>
      <c r="C1146" t="s">
        <v>22</v>
      </c>
      <c r="D1146" t="s">
        <v>28</v>
      </c>
      <c r="E1146" t="s">
        <v>39</v>
      </c>
      <c r="F1146" s="4">
        <v>7</v>
      </c>
      <c r="G1146" s="4">
        <v>143490.20000000001</v>
      </c>
      <c r="H1146" s="4">
        <v>88763.46</v>
      </c>
      <c r="I1146" s="8">
        <v>0.15</v>
      </c>
      <c r="J1146" s="4">
        <v>54726.74</v>
      </c>
      <c r="K1146" s="4" t="str">
        <f t="shared" si="68"/>
        <v>May</v>
      </c>
      <c r="L1146">
        <f t="shared" si="69"/>
        <v>5</v>
      </c>
      <c r="M1146" s="9">
        <f t="shared" si="70"/>
        <v>0.3813970570812501</v>
      </c>
      <c r="N1146" s="9">
        <f t="shared" si="71"/>
        <v>1.3287922441046806E-3</v>
      </c>
    </row>
    <row r="1147" spans="1:14" x14ac:dyDescent="0.35">
      <c r="A1147" s="6">
        <v>45243</v>
      </c>
      <c r="B1147" t="s">
        <v>9</v>
      </c>
      <c r="C1147" t="s">
        <v>13</v>
      </c>
      <c r="D1147" t="s">
        <v>28</v>
      </c>
      <c r="E1147" t="s">
        <v>44</v>
      </c>
      <c r="F1147" s="4">
        <v>6</v>
      </c>
      <c r="G1147" s="4">
        <v>248274</v>
      </c>
      <c r="H1147" s="4">
        <v>170722.22</v>
      </c>
      <c r="I1147" s="8">
        <v>0</v>
      </c>
      <c r="J1147" s="4">
        <v>77551.78</v>
      </c>
      <c r="K1147" s="4" t="str">
        <f t="shared" si="68"/>
        <v>November</v>
      </c>
      <c r="L1147">
        <f t="shared" si="69"/>
        <v>11</v>
      </c>
      <c r="M1147" s="9">
        <f t="shared" si="70"/>
        <v>0.31236367883870242</v>
      </c>
      <c r="N1147" s="9">
        <f t="shared" si="71"/>
        <v>2.299143534630556E-3</v>
      </c>
    </row>
    <row r="1148" spans="1:14" x14ac:dyDescent="0.35">
      <c r="A1148" s="6">
        <v>45167</v>
      </c>
      <c r="B1148" t="s">
        <v>10</v>
      </c>
      <c r="C1148" t="s">
        <v>19</v>
      </c>
      <c r="D1148" t="s">
        <v>26</v>
      </c>
      <c r="E1148" t="s">
        <v>43</v>
      </c>
      <c r="F1148" s="4">
        <v>5</v>
      </c>
      <c r="G1148" s="4">
        <v>57296</v>
      </c>
      <c r="H1148" s="4">
        <v>38207.660000000003</v>
      </c>
      <c r="I1148" s="8">
        <v>0.2</v>
      </c>
      <c r="J1148" s="4">
        <v>19088.34</v>
      </c>
      <c r="K1148" s="4" t="str">
        <f t="shared" si="68"/>
        <v>August</v>
      </c>
      <c r="L1148">
        <f t="shared" si="69"/>
        <v>8</v>
      </c>
      <c r="M1148" s="9">
        <f t="shared" si="70"/>
        <v>0.33315309969282325</v>
      </c>
      <c r="N1148" s="9">
        <f t="shared" si="71"/>
        <v>5.3059010593212478E-4</v>
      </c>
    </row>
    <row r="1149" spans="1:14" x14ac:dyDescent="0.35">
      <c r="A1149" s="6">
        <v>45065</v>
      </c>
      <c r="B1149" t="s">
        <v>11</v>
      </c>
      <c r="C1149" t="s">
        <v>17</v>
      </c>
      <c r="D1149" t="s">
        <v>25</v>
      </c>
      <c r="E1149" t="s">
        <v>37</v>
      </c>
      <c r="F1149" s="4">
        <v>5</v>
      </c>
      <c r="G1149" s="4">
        <v>148950</v>
      </c>
      <c r="H1149" s="4">
        <v>101539.85</v>
      </c>
      <c r="I1149" s="8">
        <v>0</v>
      </c>
      <c r="J1149" s="4">
        <v>47410.15</v>
      </c>
      <c r="K1149" s="4" t="str">
        <f t="shared" si="68"/>
        <v>May</v>
      </c>
      <c r="L1149">
        <f t="shared" si="69"/>
        <v>5</v>
      </c>
      <c r="M1149" s="9">
        <f t="shared" si="70"/>
        <v>0.31829573682443774</v>
      </c>
      <c r="N1149" s="9">
        <f t="shared" si="71"/>
        <v>1.3793527694531901E-3</v>
      </c>
    </row>
    <row r="1150" spans="1:14" x14ac:dyDescent="0.35">
      <c r="A1150" s="6">
        <v>44936</v>
      </c>
      <c r="B1150" t="s">
        <v>11</v>
      </c>
      <c r="C1150" t="s">
        <v>18</v>
      </c>
      <c r="D1150" t="s">
        <v>26</v>
      </c>
      <c r="E1150" t="s">
        <v>35</v>
      </c>
      <c r="F1150" s="4">
        <v>5</v>
      </c>
      <c r="G1150" s="4">
        <v>177190</v>
      </c>
      <c r="H1150" s="4">
        <v>130211.38</v>
      </c>
      <c r="I1150" s="8">
        <v>0</v>
      </c>
      <c r="J1150" s="4">
        <v>46978.62</v>
      </c>
      <c r="K1150" s="4" t="str">
        <f t="shared" si="68"/>
        <v>January</v>
      </c>
      <c r="L1150">
        <f t="shared" si="69"/>
        <v>1</v>
      </c>
      <c r="M1150" s="9">
        <f t="shared" si="70"/>
        <v>0.26513132795304478</v>
      </c>
      <c r="N1150" s="9">
        <f t="shared" si="71"/>
        <v>1.6408695348735197E-3</v>
      </c>
    </row>
    <row r="1151" spans="1:14" x14ac:dyDescent="0.35">
      <c r="A1151" s="6">
        <v>44974</v>
      </c>
      <c r="B1151" t="s">
        <v>11</v>
      </c>
      <c r="C1151" t="s">
        <v>16</v>
      </c>
      <c r="D1151" t="s">
        <v>27</v>
      </c>
      <c r="E1151" t="s">
        <v>40</v>
      </c>
      <c r="F1151" s="4">
        <v>2</v>
      </c>
      <c r="G1151" s="4">
        <v>72048</v>
      </c>
      <c r="H1151" s="4">
        <v>51631.86</v>
      </c>
      <c r="I1151" s="8">
        <v>0</v>
      </c>
      <c r="J1151" s="4">
        <v>20416.14</v>
      </c>
      <c r="K1151" s="4" t="str">
        <f t="shared" si="68"/>
        <v>February</v>
      </c>
      <c r="L1151">
        <f t="shared" si="69"/>
        <v>2</v>
      </c>
      <c r="M1151" s="9">
        <f t="shared" si="70"/>
        <v>0.28336858760826117</v>
      </c>
      <c r="N1151" s="9">
        <f t="shared" si="71"/>
        <v>6.6720113013469921E-4</v>
      </c>
    </row>
    <row r="1152" spans="1:14" x14ac:dyDescent="0.35">
      <c r="A1152" s="6">
        <v>45191</v>
      </c>
      <c r="B1152" t="s">
        <v>12</v>
      </c>
      <c r="C1152" t="s">
        <v>24</v>
      </c>
      <c r="D1152" t="s">
        <v>27</v>
      </c>
      <c r="E1152" t="s">
        <v>38</v>
      </c>
      <c r="F1152" s="4">
        <v>4</v>
      </c>
      <c r="G1152" s="4">
        <v>151114.6</v>
      </c>
      <c r="H1152" s="4">
        <v>115583.89</v>
      </c>
      <c r="I1152" s="8">
        <v>0.05</v>
      </c>
      <c r="J1152" s="4">
        <v>35530.71</v>
      </c>
      <c r="K1152" s="4" t="str">
        <f t="shared" si="68"/>
        <v>September</v>
      </c>
      <c r="L1152">
        <f t="shared" si="69"/>
        <v>9</v>
      </c>
      <c r="M1152" s="9">
        <f t="shared" si="70"/>
        <v>0.23512426992494437</v>
      </c>
      <c r="N1152" s="9">
        <f t="shared" si="71"/>
        <v>1.3993980665646933E-3</v>
      </c>
    </row>
    <row r="1153" spans="1:14" x14ac:dyDescent="0.35">
      <c r="A1153" s="6">
        <v>45252</v>
      </c>
      <c r="B1153" t="s">
        <v>10</v>
      </c>
      <c r="C1153" t="s">
        <v>22</v>
      </c>
      <c r="D1153" t="s">
        <v>26</v>
      </c>
      <c r="E1153" t="s">
        <v>34</v>
      </c>
      <c r="F1153" s="4">
        <v>2</v>
      </c>
      <c r="G1153" s="4">
        <v>78853.8</v>
      </c>
      <c r="H1153" s="4">
        <v>62408.26</v>
      </c>
      <c r="I1153" s="8">
        <v>0.05</v>
      </c>
      <c r="J1153" s="4">
        <v>16445.54</v>
      </c>
      <c r="K1153" s="4" t="str">
        <f t="shared" si="68"/>
        <v>November</v>
      </c>
      <c r="L1153">
        <f t="shared" si="69"/>
        <v>11</v>
      </c>
      <c r="M1153" s="9">
        <f t="shared" si="70"/>
        <v>0.20855735551108506</v>
      </c>
      <c r="N1153" s="9">
        <f t="shared" si="71"/>
        <v>7.30226300180651E-4</v>
      </c>
    </row>
    <row r="1154" spans="1:14" x14ac:dyDescent="0.35">
      <c r="A1154" s="6">
        <v>45232</v>
      </c>
      <c r="B1154" t="s">
        <v>10</v>
      </c>
      <c r="C1154" t="s">
        <v>19</v>
      </c>
      <c r="D1154" t="s">
        <v>28</v>
      </c>
      <c r="E1154" t="s">
        <v>36</v>
      </c>
      <c r="F1154" s="4">
        <v>2</v>
      </c>
      <c r="G1154" s="4">
        <v>57726</v>
      </c>
      <c r="H1154" s="4">
        <v>37594.07</v>
      </c>
      <c r="I1154" s="8">
        <v>0</v>
      </c>
      <c r="J1154" s="4">
        <v>20131.93</v>
      </c>
      <c r="K1154" s="4" t="str">
        <f t="shared" si="68"/>
        <v>November</v>
      </c>
      <c r="L1154">
        <f t="shared" si="69"/>
        <v>11</v>
      </c>
      <c r="M1154" s="9">
        <f t="shared" si="70"/>
        <v>0.34874978345979279</v>
      </c>
      <c r="N1154" s="9">
        <f t="shared" si="71"/>
        <v>5.3457212466904904E-4</v>
      </c>
    </row>
    <row r="1155" spans="1:14" x14ac:dyDescent="0.35">
      <c r="A1155" s="6">
        <v>45092</v>
      </c>
      <c r="B1155" t="s">
        <v>12</v>
      </c>
      <c r="C1155" t="s">
        <v>21</v>
      </c>
      <c r="D1155" t="s">
        <v>27</v>
      </c>
      <c r="E1155" t="s">
        <v>31</v>
      </c>
      <c r="F1155" s="4">
        <v>2</v>
      </c>
      <c r="G1155" s="4">
        <v>89117.6</v>
      </c>
      <c r="H1155" s="4">
        <v>57710.06</v>
      </c>
      <c r="I1155" s="8">
        <v>0.05</v>
      </c>
      <c r="J1155" s="4">
        <v>31407.54</v>
      </c>
      <c r="K1155" s="4" t="str">
        <f t="shared" ref="K1155:K1201" si="72">TEXT(A1155,"mmmm")</f>
        <v>June</v>
      </c>
      <c r="L1155">
        <f t="shared" ref="L1155:L1201" si="73">MONTH(A1155)</f>
        <v>6</v>
      </c>
      <c r="M1155" s="9">
        <f t="shared" ref="M1155:M1201" si="74">J1155/G1155</f>
        <v>0.35242802768476705</v>
      </c>
      <c r="N1155" s="9">
        <f t="shared" ref="N1155:N1201" si="75">G1155/SUM(G:G)</f>
        <v>8.2527430927842652E-4</v>
      </c>
    </row>
    <row r="1156" spans="1:14" x14ac:dyDescent="0.35">
      <c r="A1156" s="6">
        <v>45104</v>
      </c>
      <c r="B1156" t="s">
        <v>9</v>
      </c>
      <c r="C1156" t="s">
        <v>15</v>
      </c>
      <c r="D1156" t="s">
        <v>27</v>
      </c>
      <c r="E1156" t="s">
        <v>40</v>
      </c>
      <c r="F1156" s="4">
        <v>4</v>
      </c>
      <c r="G1156" s="4">
        <v>34019.199999999997</v>
      </c>
      <c r="H1156" s="4">
        <v>23739.89</v>
      </c>
      <c r="I1156" s="8">
        <v>0.2</v>
      </c>
      <c r="J1156" s="4">
        <v>10279.31</v>
      </c>
      <c r="K1156" s="4" t="str">
        <f t="shared" si="72"/>
        <v>June</v>
      </c>
      <c r="L1156">
        <f t="shared" si="73"/>
        <v>6</v>
      </c>
      <c r="M1156" s="9">
        <f t="shared" si="74"/>
        <v>0.30216201439187285</v>
      </c>
      <c r="N1156" s="9">
        <f t="shared" si="75"/>
        <v>3.150350972445919E-4</v>
      </c>
    </row>
    <row r="1157" spans="1:14" x14ac:dyDescent="0.35">
      <c r="A1157" s="6">
        <v>45252</v>
      </c>
      <c r="B1157" t="s">
        <v>10</v>
      </c>
      <c r="C1157" t="s">
        <v>19</v>
      </c>
      <c r="D1157" t="s">
        <v>28</v>
      </c>
      <c r="E1157" t="s">
        <v>36</v>
      </c>
      <c r="F1157" s="4">
        <v>1</v>
      </c>
      <c r="G1157" s="4">
        <v>21012.1</v>
      </c>
      <c r="H1157" s="4">
        <v>13184.39</v>
      </c>
      <c r="I1157" s="8">
        <v>0.05</v>
      </c>
      <c r="J1157" s="4">
        <v>7827.71</v>
      </c>
      <c r="K1157" s="4" t="str">
        <f t="shared" si="72"/>
        <v>November</v>
      </c>
      <c r="L1157">
        <f t="shared" si="73"/>
        <v>11</v>
      </c>
      <c r="M1157" s="9">
        <f t="shared" si="74"/>
        <v>0.37253344501501517</v>
      </c>
      <c r="N1157" s="9">
        <f t="shared" si="75"/>
        <v>1.9458273465610857E-4</v>
      </c>
    </row>
    <row r="1158" spans="1:14" x14ac:dyDescent="0.35">
      <c r="A1158" s="6">
        <v>45167</v>
      </c>
      <c r="B1158" t="s">
        <v>10</v>
      </c>
      <c r="C1158" t="s">
        <v>19</v>
      </c>
      <c r="D1158" t="s">
        <v>25</v>
      </c>
      <c r="E1158" t="s">
        <v>37</v>
      </c>
      <c r="F1158" s="4">
        <v>7</v>
      </c>
      <c r="G1158" s="4">
        <v>236300.4</v>
      </c>
      <c r="H1158" s="4">
        <v>176120.04</v>
      </c>
      <c r="I1158" s="8">
        <v>0.1</v>
      </c>
      <c r="J1158" s="4">
        <v>60180.36</v>
      </c>
      <c r="K1158" s="4" t="str">
        <f t="shared" si="72"/>
        <v>August</v>
      </c>
      <c r="L1158">
        <f t="shared" si="73"/>
        <v>8</v>
      </c>
      <c r="M1158" s="9">
        <f t="shared" si="74"/>
        <v>0.25467735137138997</v>
      </c>
      <c r="N1158" s="9">
        <f t="shared" si="75"/>
        <v>2.1882619077737268E-3</v>
      </c>
    </row>
    <row r="1159" spans="1:14" x14ac:dyDescent="0.35">
      <c r="A1159" s="6">
        <v>45080</v>
      </c>
      <c r="B1159" t="s">
        <v>10</v>
      </c>
      <c r="C1159" t="s">
        <v>22</v>
      </c>
      <c r="D1159" t="s">
        <v>27</v>
      </c>
      <c r="E1159" t="s">
        <v>40</v>
      </c>
      <c r="F1159" s="4">
        <v>6</v>
      </c>
      <c r="G1159" s="4">
        <v>219175.2</v>
      </c>
      <c r="H1159" s="4">
        <v>155279.57</v>
      </c>
      <c r="I1159" s="8">
        <v>0.1</v>
      </c>
      <c r="J1159" s="4">
        <v>63895.63</v>
      </c>
      <c r="K1159" s="4" t="str">
        <f t="shared" si="72"/>
        <v>June</v>
      </c>
      <c r="L1159">
        <f t="shared" si="73"/>
        <v>6</v>
      </c>
      <c r="M1159" s="9">
        <f t="shared" si="74"/>
        <v>0.29152764546353782</v>
      </c>
      <c r="N1159" s="9">
        <f t="shared" si="75"/>
        <v>2.0296738443468065E-3</v>
      </c>
    </row>
    <row r="1160" spans="1:14" x14ac:dyDescent="0.35">
      <c r="A1160" s="6">
        <v>44973</v>
      </c>
      <c r="B1160" t="s">
        <v>11</v>
      </c>
      <c r="C1160" t="s">
        <v>18</v>
      </c>
      <c r="D1160" t="s">
        <v>27</v>
      </c>
      <c r="E1160" t="s">
        <v>40</v>
      </c>
      <c r="F1160" s="4">
        <v>7</v>
      </c>
      <c r="G1160" s="4">
        <v>171339</v>
      </c>
      <c r="H1160" s="4">
        <v>102830.48</v>
      </c>
      <c r="I1160" s="8">
        <v>0</v>
      </c>
      <c r="J1160" s="4">
        <v>68508.52</v>
      </c>
      <c r="K1160" s="4" t="str">
        <f t="shared" si="72"/>
        <v>February</v>
      </c>
      <c r="L1160">
        <f t="shared" si="73"/>
        <v>2</v>
      </c>
      <c r="M1160" s="9">
        <f t="shared" si="74"/>
        <v>0.39984195075260159</v>
      </c>
      <c r="N1160" s="9">
        <f t="shared" si="75"/>
        <v>1.5866862985252778E-3</v>
      </c>
    </row>
    <row r="1161" spans="1:14" x14ac:dyDescent="0.35">
      <c r="A1161" s="6">
        <v>45213</v>
      </c>
      <c r="B1161" t="s">
        <v>12</v>
      </c>
      <c r="C1161" t="s">
        <v>23</v>
      </c>
      <c r="D1161" t="s">
        <v>28</v>
      </c>
      <c r="E1161" t="s">
        <v>36</v>
      </c>
      <c r="F1161" s="4">
        <v>1</v>
      </c>
      <c r="G1161" s="4">
        <v>7487.2</v>
      </c>
      <c r="H1161" s="4">
        <v>5059.6099999999997</v>
      </c>
      <c r="I1161" s="8">
        <v>0.2</v>
      </c>
      <c r="J1161" s="4">
        <v>2427.59</v>
      </c>
      <c r="K1161" s="4" t="str">
        <f t="shared" si="72"/>
        <v>October</v>
      </c>
      <c r="L1161">
        <f t="shared" si="73"/>
        <v>10</v>
      </c>
      <c r="M1161" s="9">
        <f t="shared" si="74"/>
        <v>0.32423202265199275</v>
      </c>
      <c r="N1161" s="9">
        <f t="shared" si="75"/>
        <v>6.9335280667673211E-5</v>
      </c>
    </row>
    <row r="1162" spans="1:14" x14ac:dyDescent="0.35">
      <c r="A1162" s="6">
        <v>45094</v>
      </c>
      <c r="B1162" t="s">
        <v>12</v>
      </c>
      <c r="C1162" t="s">
        <v>24</v>
      </c>
      <c r="D1162" t="s">
        <v>28</v>
      </c>
      <c r="E1162" t="s">
        <v>44</v>
      </c>
      <c r="F1162" s="4">
        <v>3</v>
      </c>
      <c r="G1162" s="4">
        <v>13942.2</v>
      </c>
      <c r="H1162" s="4">
        <v>8297.83</v>
      </c>
      <c r="I1162" s="8">
        <v>0.05</v>
      </c>
      <c r="J1162" s="4">
        <v>5644.37</v>
      </c>
      <c r="K1162" s="4" t="str">
        <f t="shared" si="72"/>
        <v>June</v>
      </c>
      <c r="L1162">
        <f t="shared" si="73"/>
        <v>6</v>
      </c>
      <c r="M1162" s="9">
        <f t="shared" si="74"/>
        <v>0.40484069945919582</v>
      </c>
      <c r="N1162" s="9">
        <f t="shared" si="75"/>
        <v>1.2911186426499004E-4</v>
      </c>
    </row>
    <row r="1163" spans="1:14" x14ac:dyDescent="0.35">
      <c r="A1163" s="6">
        <v>45064</v>
      </c>
      <c r="B1163" t="s">
        <v>10</v>
      </c>
      <c r="C1163" t="s">
        <v>14</v>
      </c>
      <c r="D1163" t="s">
        <v>27</v>
      </c>
      <c r="E1163" t="s">
        <v>38</v>
      </c>
      <c r="F1163" s="4">
        <v>1</v>
      </c>
      <c r="G1163" s="4">
        <v>14631.05</v>
      </c>
      <c r="H1163" s="4">
        <v>9749.7199999999993</v>
      </c>
      <c r="I1163" s="8">
        <v>0.15</v>
      </c>
      <c r="J1163" s="4">
        <v>4881.33</v>
      </c>
      <c r="K1163" s="4" t="str">
        <f t="shared" si="72"/>
        <v>May</v>
      </c>
      <c r="L1163">
        <f t="shared" si="73"/>
        <v>5</v>
      </c>
      <c r="M1163" s="9">
        <f t="shared" si="74"/>
        <v>0.33362814015398762</v>
      </c>
      <c r="N1163" s="9">
        <f t="shared" si="75"/>
        <v>1.3549096567645584E-4</v>
      </c>
    </row>
    <row r="1164" spans="1:14" x14ac:dyDescent="0.35">
      <c r="A1164" s="6">
        <v>45257</v>
      </c>
      <c r="B1164" t="s">
        <v>9</v>
      </c>
      <c r="C1164" t="s">
        <v>15</v>
      </c>
      <c r="D1164" t="s">
        <v>28</v>
      </c>
      <c r="E1164" t="s">
        <v>36</v>
      </c>
      <c r="F1164" s="4">
        <v>4</v>
      </c>
      <c r="G1164" s="4">
        <v>65664</v>
      </c>
      <c r="H1164" s="4">
        <v>38567.74</v>
      </c>
      <c r="I1164" s="8">
        <v>0</v>
      </c>
      <c r="J1164" s="4">
        <v>27096.26</v>
      </c>
      <c r="K1164" s="4" t="str">
        <f t="shared" si="72"/>
        <v>November</v>
      </c>
      <c r="L1164">
        <f t="shared" si="73"/>
        <v>11</v>
      </c>
      <c r="M1164" s="9">
        <f t="shared" si="74"/>
        <v>0.41265015838206626</v>
      </c>
      <c r="N1164" s="9">
        <f t="shared" si="75"/>
        <v>6.0808204265440933E-4</v>
      </c>
    </row>
    <row r="1165" spans="1:14" x14ac:dyDescent="0.35">
      <c r="A1165" s="6">
        <v>44957</v>
      </c>
      <c r="B1165" t="s">
        <v>12</v>
      </c>
      <c r="C1165" t="s">
        <v>23</v>
      </c>
      <c r="D1165" t="s">
        <v>25</v>
      </c>
      <c r="E1165" t="s">
        <v>33</v>
      </c>
      <c r="F1165" s="4">
        <v>2</v>
      </c>
      <c r="G1165" s="4">
        <v>59770.2</v>
      </c>
      <c r="H1165" s="4">
        <v>40096.870000000003</v>
      </c>
      <c r="I1165" s="8">
        <v>0.05</v>
      </c>
      <c r="J1165" s="4">
        <v>19673.330000000002</v>
      </c>
      <c r="K1165" s="4" t="str">
        <f t="shared" si="72"/>
        <v>January</v>
      </c>
      <c r="L1165">
        <f t="shared" si="73"/>
        <v>1</v>
      </c>
      <c r="M1165" s="9">
        <f t="shared" si="74"/>
        <v>0.329149475825746</v>
      </c>
      <c r="N1165" s="9">
        <f t="shared" si="75"/>
        <v>5.535024565342132E-4</v>
      </c>
    </row>
    <row r="1166" spans="1:14" x14ac:dyDescent="0.35">
      <c r="A1166" s="6">
        <v>44945</v>
      </c>
      <c r="B1166" t="s">
        <v>10</v>
      </c>
      <c r="C1166" t="s">
        <v>19</v>
      </c>
      <c r="D1166" t="s">
        <v>28</v>
      </c>
      <c r="E1166" t="s">
        <v>44</v>
      </c>
      <c r="F1166" s="4">
        <v>2</v>
      </c>
      <c r="G1166" s="4">
        <v>53026</v>
      </c>
      <c r="H1166" s="4">
        <v>32209.53</v>
      </c>
      <c r="I1166" s="8">
        <v>0</v>
      </c>
      <c r="J1166" s="4">
        <v>20816.47</v>
      </c>
      <c r="K1166" s="4" t="str">
        <f t="shared" si="72"/>
        <v>January</v>
      </c>
      <c r="L1166">
        <f t="shared" si="73"/>
        <v>1</v>
      </c>
      <c r="M1166" s="9">
        <f t="shared" si="74"/>
        <v>0.39257100290423569</v>
      </c>
      <c r="N1166" s="9">
        <f t="shared" si="75"/>
        <v>4.9104773382359758E-4</v>
      </c>
    </row>
    <row r="1167" spans="1:14" x14ac:dyDescent="0.35">
      <c r="A1167" s="6">
        <v>45068</v>
      </c>
      <c r="B1167" t="s">
        <v>11</v>
      </c>
      <c r="C1167" t="s">
        <v>17</v>
      </c>
      <c r="D1167" t="s">
        <v>25</v>
      </c>
      <c r="E1167" t="s">
        <v>29</v>
      </c>
      <c r="F1167" s="4">
        <v>4</v>
      </c>
      <c r="G1167" s="4">
        <v>165832</v>
      </c>
      <c r="H1167" s="4">
        <v>102570.54</v>
      </c>
      <c r="I1167" s="8">
        <v>0</v>
      </c>
      <c r="J1167" s="4">
        <v>63261.46</v>
      </c>
      <c r="K1167" s="4" t="str">
        <f t="shared" si="72"/>
        <v>May</v>
      </c>
      <c r="L1167">
        <f t="shared" si="73"/>
        <v>5</v>
      </c>
      <c r="M1167" s="9">
        <f t="shared" si="74"/>
        <v>0.38147920787302814</v>
      </c>
      <c r="N1167" s="9">
        <f t="shared" si="75"/>
        <v>1.5356886771665755E-3</v>
      </c>
    </row>
    <row r="1168" spans="1:14" x14ac:dyDescent="0.35">
      <c r="A1168" s="6">
        <v>45202</v>
      </c>
      <c r="B1168" t="s">
        <v>9</v>
      </c>
      <c r="C1168" t="s">
        <v>13</v>
      </c>
      <c r="D1168" t="s">
        <v>28</v>
      </c>
      <c r="E1168" t="s">
        <v>36</v>
      </c>
      <c r="F1168" s="4">
        <v>5</v>
      </c>
      <c r="G1168" s="4">
        <v>67324</v>
      </c>
      <c r="H1168" s="4">
        <v>38008.06</v>
      </c>
      <c r="I1168" s="8">
        <v>0.2</v>
      </c>
      <c r="J1168" s="4">
        <v>29315.94</v>
      </c>
      <c r="K1168" s="4" t="str">
        <f t="shared" si="72"/>
        <v>October</v>
      </c>
      <c r="L1168">
        <f t="shared" si="73"/>
        <v>10</v>
      </c>
      <c r="M1168" s="9">
        <f t="shared" si="74"/>
        <v>0.43544560632166834</v>
      </c>
      <c r="N1168" s="9">
        <f t="shared" si="75"/>
        <v>6.2345448708067523E-4</v>
      </c>
    </row>
    <row r="1169" spans="1:14" x14ac:dyDescent="0.35">
      <c r="A1169" s="6">
        <v>45284</v>
      </c>
      <c r="B1169" t="s">
        <v>9</v>
      </c>
      <c r="C1169" t="s">
        <v>13</v>
      </c>
      <c r="D1169" t="s">
        <v>25</v>
      </c>
      <c r="E1169" t="s">
        <v>32</v>
      </c>
      <c r="F1169" s="4">
        <v>3</v>
      </c>
      <c r="G1169" s="4">
        <v>108137.85</v>
      </c>
      <c r="H1169" s="4">
        <v>84099.73</v>
      </c>
      <c r="I1169" s="8">
        <v>0.15</v>
      </c>
      <c r="J1169" s="4">
        <v>24038.12</v>
      </c>
      <c r="K1169" s="4" t="str">
        <f t="shared" si="72"/>
        <v>December</v>
      </c>
      <c r="L1169">
        <f t="shared" si="73"/>
        <v>12</v>
      </c>
      <c r="M1169" s="9">
        <f t="shared" si="74"/>
        <v>0.22229145484212973</v>
      </c>
      <c r="N1169" s="9">
        <f t="shared" si="75"/>
        <v>1.0014114996993197E-3</v>
      </c>
    </row>
    <row r="1170" spans="1:14" x14ac:dyDescent="0.35">
      <c r="A1170" s="6">
        <v>45250</v>
      </c>
      <c r="B1170" t="s">
        <v>9</v>
      </c>
      <c r="C1170" t="s">
        <v>20</v>
      </c>
      <c r="D1170" t="s">
        <v>26</v>
      </c>
      <c r="E1170" t="s">
        <v>30</v>
      </c>
      <c r="F1170" s="4">
        <v>3</v>
      </c>
      <c r="G1170" s="4">
        <v>111486</v>
      </c>
      <c r="H1170" s="4">
        <v>77089.460000000006</v>
      </c>
      <c r="I1170" s="8">
        <v>0.15</v>
      </c>
      <c r="J1170" s="4">
        <v>34396.54</v>
      </c>
      <c r="K1170" s="4" t="str">
        <f t="shared" si="72"/>
        <v>November</v>
      </c>
      <c r="L1170">
        <f t="shared" si="73"/>
        <v>11</v>
      </c>
      <c r="M1170" s="9">
        <f t="shared" si="74"/>
        <v>0.30852788690956712</v>
      </c>
      <c r="N1170" s="9">
        <f t="shared" si="75"/>
        <v>1.0324170718714893E-3</v>
      </c>
    </row>
    <row r="1171" spans="1:14" x14ac:dyDescent="0.35">
      <c r="A1171" s="6">
        <v>45028</v>
      </c>
      <c r="B1171" t="s">
        <v>9</v>
      </c>
      <c r="C1171" t="s">
        <v>13</v>
      </c>
      <c r="D1171" t="s">
        <v>27</v>
      </c>
      <c r="E1171" t="s">
        <v>38</v>
      </c>
      <c r="F1171" s="4">
        <v>4</v>
      </c>
      <c r="G1171" s="4">
        <v>105868.8</v>
      </c>
      <c r="H1171" s="4">
        <v>77336.710000000006</v>
      </c>
      <c r="I1171" s="8">
        <v>0.2</v>
      </c>
      <c r="J1171" s="4">
        <v>28532.09</v>
      </c>
      <c r="K1171" s="4" t="str">
        <f t="shared" si="72"/>
        <v>April</v>
      </c>
      <c r="L1171">
        <f t="shared" si="73"/>
        <v>4</v>
      </c>
      <c r="M1171" s="9">
        <f t="shared" si="74"/>
        <v>0.26950423543102403</v>
      </c>
      <c r="N1171" s="9">
        <f t="shared" si="75"/>
        <v>9.8039894245509156E-4</v>
      </c>
    </row>
    <row r="1172" spans="1:14" x14ac:dyDescent="0.35">
      <c r="A1172" s="6">
        <v>45003</v>
      </c>
      <c r="B1172" t="s">
        <v>10</v>
      </c>
      <c r="C1172" t="s">
        <v>14</v>
      </c>
      <c r="D1172" t="s">
        <v>25</v>
      </c>
      <c r="E1172" t="s">
        <v>37</v>
      </c>
      <c r="F1172" s="4">
        <v>2</v>
      </c>
      <c r="G1172" s="4">
        <v>6922.8</v>
      </c>
      <c r="H1172" s="4">
        <v>4578.8999999999996</v>
      </c>
      <c r="I1172" s="8">
        <v>0.1</v>
      </c>
      <c r="J1172" s="4">
        <v>2343.9</v>
      </c>
      <c r="K1172" s="4" t="str">
        <f t="shared" si="72"/>
        <v>March</v>
      </c>
      <c r="L1172">
        <f t="shared" si="73"/>
        <v>3</v>
      </c>
      <c r="M1172" s="9">
        <f t="shared" si="74"/>
        <v>0.33857687640838968</v>
      </c>
      <c r="N1172" s="9">
        <f t="shared" si="75"/>
        <v>6.4108649562742831E-5</v>
      </c>
    </row>
    <row r="1173" spans="1:14" x14ac:dyDescent="0.35">
      <c r="A1173" s="6">
        <v>45151</v>
      </c>
      <c r="B1173" t="s">
        <v>10</v>
      </c>
      <c r="C1173" t="s">
        <v>14</v>
      </c>
      <c r="D1173" t="s">
        <v>28</v>
      </c>
      <c r="E1173" t="s">
        <v>36</v>
      </c>
      <c r="F1173" s="4">
        <v>6</v>
      </c>
      <c r="G1173" s="4">
        <v>125073.60000000001</v>
      </c>
      <c r="H1173" s="4">
        <v>94179.41</v>
      </c>
      <c r="I1173" s="8">
        <v>0.2</v>
      </c>
      <c r="J1173" s="4">
        <v>30894.19</v>
      </c>
      <c r="K1173" s="4" t="str">
        <f t="shared" si="72"/>
        <v>August</v>
      </c>
      <c r="L1173">
        <f t="shared" si="73"/>
        <v>8</v>
      </c>
      <c r="M1173" s="9">
        <f t="shared" si="74"/>
        <v>0.24700808164152946</v>
      </c>
      <c r="N1173" s="9">
        <f t="shared" si="75"/>
        <v>1.1582451597548205E-3</v>
      </c>
    </row>
    <row r="1174" spans="1:14" x14ac:dyDescent="0.35">
      <c r="A1174" s="6">
        <v>45084</v>
      </c>
      <c r="B1174" t="s">
        <v>10</v>
      </c>
      <c r="C1174" t="s">
        <v>14</v>
      </c>
      <c r="D1174" t="s">
        <v>26</v>
      </c>
      <c r="E1174" t="s">
        <v>30</v>
      </c>
      <c r="F1174" s="4">
        <v>7</v>
      </c>
      <c r="G1174" s="4">
        <v>249669</v>
      </c>
      <c r="H1174" s="4">
        <v>184960.72</v>
      </c>
      <c r="I1174" s="8">
        <v>0</v>
      </c>
      <c r="J1174" s="4">
        <v>64708.28</v>
      </c>
      <c r="K1174" s="4" t="str">
        <f t="shared" si="72"/>
        <v>June</v>
      </c>
      <c r="L1174">
        <f t="shared" si="73"/>
        <v>6</v>
      </c>
      <c r="M1174" s="9">
        <f t="shared" si="74"/>
        <v>0.25917626938065996</v>
      </c>
      <c r="N1174" s="9">
        <f t="shared" si="75"/>
        <v>2.3120619442538338E-3</v>
      </c>
    </row>
    <row r="1175" spans="1:14" x14ac:dyDescent="0.35">
      <c r="A1175" s="6">
        <v>44969</v>
      </c>
      <c r="B1175" t="s">
        <v>10</v>
      </c>
      <c r="C1175" t="s">
        <v>14</v>
      </c>
      <c r="D1175" t="s">
        <v>28</v>
      </c>
      <c r="E1175" t="s">
        <v>42</v>
      </c>
      <c r="F1175" s="4">
        <v>7</v>
      </c>
      <c r="G1175" s="4">
        <v>307090.34999999998</v>
      </c>
      <c r="H1175" s="4">
        <v>187551.24</v>
      </c>
      <c r="I1175" s="8">
        <v>0.05</v>
      </c>
      <c r="J1175" s="4">
        <v>119539.11</v>
      </c>
      <c r="K1175" s="4" t="str">
        <f t="shared" si="72"/>
        <v>February</v>
      </c>
      <c r="L1175">
        <f t="shared" si="73"/>
        <v>2</v>
      </c>
      <c r="M1175" s="9">
        <f t="shared" si="74"/>
        <v>0.3892636483041555</v>
      </c>
      <c r="N1175" s="9">
        <f t="shared" si="75"/>
        <v>2.8438128549503152E-3</v>
      </c>
    </row>
    <row r="1176" spans="1:14" x14ac:dyDescent="0.35">
      <c r="A1176" s="6">
        <v>44989</v>
      </c>
      <c r="B1176" t="s">
        <v>11</v>
      </c>
      <c r="C1176" t="s">
        <v>17</v>
      </c>
      <c r="D1176" t="s">
        <v>27</v>
      </c>
      <c r="E1176" t="s">
        <v>31</v>
      </c>
      <c r="F1176" s="4">
        <v>4</v>
      </c>
      <c r="G1176" s="4">
        <v>116132.4</v>
      </c>
      <c r="H1176" s="4">
        <v>83536.960000000006</v>
      </c>
      <c r="I1176" s="8">
        <v>0.1</v>
      </c>
      <c r="J1176" s="4">
        <v>32595.439999999999</v>
      </c>
      <c r="K1176" s="4" t="str">
        <f t="shared" si="72"/>
        <v>March</v>
      </c>
      <c r="L1176">
        <f t="shared" si="73"/>
        <v>3</v>
      </c>
      <c r="M1176" s="9">
        <f t="shared" si="74"/>
        <v>0.28067481598589195</v>
      </c>
      <c r="N1176" s="9">
        <f t="shared" si="75"/>
        <v>1.0754450994511289E-3</v>
      </c>
    </row>
    <row r="1177" spans="1:14" x14ac:dyDescent="0.35">
      <c r="A1177" s="6">
        <v>45264</v>
      </c>
      <c r="B1177" t="s">
        <v>10</v>
      </c>
      <c r="C1177" t="s">
        <v>22</v>
      </c>
      <c r="D1177" t="s">
        <v>27</v>
      </c>
      <c r="E1177" t="s">
        <v>40</v>
      </c>
      <c r="F1177" s="4">
        <v>6</v>
      </c>
      <c r="G1177" s="4">
        <v>9784.7999999999993</v>
      </c>
      <c r="H1177" s="4">
        <v>7664.13</v>
      </c>
      <c r="I1177" s="8">
        <v>0.1</v>
      </c>
      <c r="J1177" s="4">
        <v>2120.67</v>
      </c>
      <c r="K1177" s="4" t="str">
        <f t="shared" si="72"/>
        <v>December</v>
      </c>
      <c r="L1177">
        <f t="shared" si="73"/>
        <v>12</v>
      </c>
      <c r="M1177" s="9">
        <f t="shared" si="74"/>
        <v>0.21673105224429731</v>
      </c>
      <c r="N1177" s="9">
        <f t="shared" si="75"/>
        <v>9.0612225435015605E-5</v>
      </c>
    </row>
    <row r="1178" spans="1:14" x14ac:dyDescent="0.35">
      <c r="A1178" s="6">
        <v>44990</v>
      </c>
      <c r="B1178" t="s">
        <v>9</v>
      </c>
      <c r="C1178" t="s">
        <v>20</v>
      </c>
      <c r="D1178" t="s">
        <v>25</v>
      </c>
      <c r="E1178" t="s">
        <v>32</v>
      </c>
      <c r="F1178" s="4">
        <v>6</v>
      </c>
      <c r="G1178" s="4">
        <v>252144</v>
      </c>
      <c r="H1178" s="4">
        <v>143446.64000000001</v>
      </c>
      <c r="I1178" s="8">
        <v>0.15</v>
      </c>
      <c r="J1178" s="4">
        <v>108697.36</v>
      </c>
      <c r="K1178" s="4" t="str">
        <f t="shared" si="72"/>
        <v>March</v>
      </c>
      <c r="L1178">
        <f t="shared" si="73"/>
        <v>3</v>
      </c>
      <c r="M1178" s="9">
        <f t="shared" si="74"/>
        <v>0.43109239164921631</v>
      </c>
      <c r="N1178" s="9">
        <f t="shared" si="75"/>
        <v>2.3349817032628744E-3</v>
      </c>
    </row>
    <row r="1179" spans="1:14" x14ac:dyDescent="0.35">
      <c r="A1179" s="6">
        <v>45116</v>
      </c>
      <c r="B1179" t="s">
        <v>10</v>
      </c>
      <c r="C1179" t="s">
        <v>19</v>
      </c>
      <c r="D1179" t="s">
        <v>26</v>
      </c>
      <c r="E1179" t="s">
        <v>43</v>
      </c>
      <c r="F1179" s="4">
        <v>6</v>
      </c>
      <c r="G1179" s="4">
        <v>96244.2</v>
      </c>
      <c r="H1179" s="4">
        <v>56963.83</v>
      </c>
      <c r="I1179" s="8">
        <v>0.1</v>
      </c>
      <c r="J1179" s="4">
        <v>39280.370000000003</v>
      </c>
      <c r="K1179" s="4" t="str">
        <f t="shared" si="72"/>
        <v>July</v>
      </c>
      <c r="L1179">
        <f t="shared" si="73"/>
        <v>7</v>
      </c>
      <c r="M1179" s="9">
        <f t="shared" si="74"/>
        <v>0.40813233420819128</v>
      </c>
      <c r="N1179" s="9">
        <f t="shared" si="75"/>
        <v>8.9127025051229753E-4</v>
      </c>
    </row>
    <row r="1180" spans="1:14" x14ac:dyDescent="0.35">
      <c r="A1180" s="6">
        <v>45207</v>
      </c>
      <c r="B1180" t="s">
        <v>12</v>
      </c>
      <c r="C1180" t="s">
        <v>24</v>
      </c>
      <c r="D1180" t="s">
        <v>26</v>
      </c>
      <c r="E1180" t="s">
        <v>43</v>
      </c>
      <c r="F1180" s="4">
        <v>3</v>
      </c>
      <c r="G1180" s="4">
        <v>71943.149999999994</v>
      </c>
      <c r="H1180" s="4">
        <v>52538.69</v>
      </c>
      <c r="I1180" s="8">
        <v>0.15</v>
      </c>
      <c r="J1180" s="4">
        <v>19404.46</v>
      </c>
      <c r="K1180" s="4" t="str">
        <f t="shared" si="72"/>
        <v>October</v>
      </c>
      <c r="L1180">
        <f t="shared" si="73"/>
        <v>10</v>
      </c>
      <c r="M1180" s="9">
        <f t="shared" si="74"/>
        <v>0.26971935479611331</v>
      </c>
      <c r="N1180" s="9">
        <f t="shared" si="75"/>
        <v>6.6623016579849795E-4</v>
      </c>
    </row>
    <row r="1181" spans="1:14" x14ac:dyDescent="0.35">
      <c r="A1181" s="6">
        <v>45198</v>
      </c>
      <c r="B1181" t="s">
        <v>10</v>
      </c>
      <c r="C1181" t="s">
        <v>14</v>
      </c>
      <c r="D1181" t="s">
        <v>28</v>
      </c>
      <c r="E1181" t="s">
        <v>39</v>
      </c>
      <c r="F1181" s="4">
        <v>7</v>
      </c>
      <c r="G1181" s="4">
        <v>112056</v>
      </c>
      <c r="H1181" s="4">
        <v>74817.16</v>
      </c>
      <c r="I1181" s="8">
        <v>0.2</v>
      </c>
      <c r="J1181" s="4">
        <v>37238.839999999997</v>
      </c>
      <c r="K1181" s="4" t="str">
        <f t="shared" si="72"/>
        <v>September</v>
      </c>
      <c r="L1181">
        <f t="shared" si="73"/>
        <v>9</v>
      </c>
      <c r="M1181" s="9">
        <f t="shared" si="74"/>
        <v>0.33232348111658455</v>
      </c>
      <c r="N1181" s="9">
        <f t="shared" si="75"/>
        <v>1.0376955618250868E-3</v>
      </c>
    </row>
    <row r="1182" spans="1:14" x14ac:dyDescent="0.35">
      <c r="A1182" s="6">
        <v>45196</v>
      </c>
      <c r="B1182" t="s">
        <v>10</v>
      </c>
      <c r="C1182" t="s">
        <v>14</v>
      </c>
      <c r="D1182" t="s">
        <v>26</v>
      </c>
      <c r="E1182" t="s">
        <v>43</v>
      </c>
      <c r="F1182" s="4">
        <v>7</v>
      </c>
      <c r="G1182" s="4">
        <v>175316.4</v>
      </c>
      <c r="H1182" s="4">
        <v>100078.45</v>
      </c>
      <c r="I1182" s="8">
        <v>0.1</v>
      </c>
      <c r="J1182" s="4">
        <v>75237.95</v>
      </c>
      <c r="K1182" s="4" t="str">
        <f t="shared" si="72"/>
        <v>September</v>
      </c>
      <c r="L1182">
        <f t="shared" si="73"/>
        <v>9</v>
      </c>
      <c r="M1182" s="9">
        <f t="shared" si="74"/>
        <v>0.42915523020093954</v>
      </c>
      <c r="N1182" s="9">
        <f t="shared" si="75"/>
        <v>1.6235190457909584E-3</v>
      </c>
    </row>
    <row r="1183" spans="1:14" x14ac:dyDescent="0.35">
      <c r="A1183" s="6">
        <v>45037</v>
      </c>
      <c r="B1183" t="s">
        <v>11</v>
      </c>
      <c r="C1183" t="s">
        <v>18</v>
      </c>
      <c r="D1183" t="s">
        <v>25</v>
      </c>
      <c r="E1183" t="s">
        <v>33</v>
      </c>
      <c r="F1183" s="4">
        <v>2</v>
      </c>
      <c r="G1183" s="4">
        <v>13721.8</v>
      </c>
      <c r="H1183" s="4">
        <v>8732.6200000000008</v>
      </c>
      <c r="I1183" s="8">
        <v>0.05</v>
      </c>
      <c r="J1183" s="4">
        <v>4989.18</v>
      </c>
      <c r="K1183" s="4" t="str">
        <f t="shared" si="72"/>
        <v>April</v>
      </c>
      <c r="L1183">
        <f t="shared" si="73"/>
        <v>4</v>
      </c>
      <c r="M1183" s="9">
        <f t="shared" si="74"/>
        <v>0.36359515515457158</v>
      </c>
      <c r="N1183" s="9">
        <f t="shared" si="75"/>
        <v>1.2707084814959907E-4</v>
      </c>
    </row>
    <row r="1184" spans="1:14" x14ac:dyDescent="0.35">
      <c r="A1184" s="6">
        <v>44983</v>
      </c>
      <c r="B1184" t="s">
        <v>12</v>
      </c>
      <c r="C1184" t="s">
        <v>21</v>
      </c>
      <c r="D1184" t="s">
        <v>27</v>
      </c>
      <c r="E1184" t="s">
        <v>40</v>
      </c>
      <c r="F1184" s="4">
        <v>3</v>
      </c>
      <c r="G1184" s="4">
        <v>83798.399999999994</v>
      </c>
      <c r="H1184" s="4">
        <v>62152.61</v>
      </c>
      <c r="I1184" s="8">
        <v>0.2</v>
      </c>
      <c r="J1184" s="4">
        <v>21645.79</v>
      </c>
      <c r="K1184" s="4" t="str">
        <f t="shared" si="72"/>
        <v>February</v>
      </c>
      <c r="L1184">
        <f t="shared" si="73"/>
        <v>2</v>
      </c>
      <c r="M1184" s="9">
        <f t="shared" si="74"/>
        <v>0.25830791518692486</v>
      </c>
      <c r="N1184" s="9">
        <f t="shared" si="75"/>
        <v>7.7601581145180399E-4</v>
      </c>
    </row>
    <row r="1185" spans="1:14" x14ac:dyDescent="0.35">
      <c r="A1185" s="6">
        <v>45057</v>
      </c>
      <c r="B1185" t="s">
        <v>11</v>
      </c>
      <c r="C1185" t="s">
        <v>16</v>
      </c>
      <c r="D1185" t="s">
        <v>25</v>
      </c>
      <c r="E1185" t="s">
        <v>29</v>
      </c>
      <c r="F1185" s="4">
        <v>7</v>
      </c>
      <c r="G1185" s="4">
        <v>93545.9</v>
      </c>
      <c r="H1185" s="4">
        <v>67256.990000000005</v>
      </c>
      <c r="I1185" s="8">
        <v>0.15</v>
      </c>
      <c r="J1185" s="4">
        <v>26288.91</v>
      </c>
      <c r="K1185" s="4" t="str">
        <f t="shared" si="72"/>
        <v>May</v>
      </c>
      <c r="L1185">
        <f t="shared" si="73"/>
        <v>5</v>
      </c>
      <c r="M1185" s="9">
        <f t="shared" si="74"/>
        <v>0.28102685419670986</v>
      </c>
      <c r="N1185" s="9">
        <f t="shared" si="75"/>
        <v>8.662826199126631E-4</v>
      </c>
    </row>
    <row r="1186" spans="1:14" x14ac:dyDescent="0.35">
      <c r="A1186" s="6">
        <v>44935</v>
      </c>
      <c r="B1186" t="s">
        <v>12</v>
      </c>
      <c r="C1186" t="s">
        <v>24</v>
      </c>
      <c r="D1186" t="s">
        <v>27</v>
      </c>
      <c r="E1186" t="s">
        <v>40</v>
      </c>
      <c r="F1186" s="4">
        <v>2</v>
      </c>
      <c r="G1186" s="4">
        <v>64722.6</v>
      </c>
      <c r="H1186" s="4">
        <v>49604.13</v>
      </c>
      <c r="I1186" s="8">
        <v>0.1</v>
      </c>
      <c r="J1186" s="4">
        <v>15118.47</v>
      </c>
      <c r="K1186" s="4" t="str">
        <f t="shared" si="72"/>
        <v>January</v>
      </c>
      <c r="L1186">
        <f t="shared" si="73"/>
        <v>1</v>
      </c>
      <c r="M1186" s="9">
        <f t="shared" si="74"/>
        <v>0.23358873098423116</v>
      </c>
      <c r="N1186" s="9">
        <f t="shared" si="75"/>
        <v>5.9936419977315236E-4</v>
      </c>
    </row>
    <row r="1187" spans="1:14" x14ac:dyDescent="0.35">
      <c r="A1187" s="6">
        <v>45117</v>
      </c>
      <c r="B1187" t="s">
        <v>12</v>
      </c>
      <c r="C1187" t="s">
        <v>21</v>
      </c>
      <c r="D1187" t="s">
        <v>25</v>
      </c>
      <c r="E1187" t="s">
        <v>37</v>
      </c>
      <c r="F1187" s="4">
        <v>4</v>
      </c>
      <c r="G1187" s="4">
        <v>19815.2</v>
      </c>
      <c r="H1187" s="4">
        <v>14944.59</v>
      </c>
      <c r="I1187" s="8">
        <v>0.15</v>
      </c>
      <c r="J1187" s="4">
        <v>4870.6099999999997</v>
      </c>
      <c r="K1187" s="4" t="str">
        <f t="shared" si="72"/>
        <v>July</v>
      </c>
      <c r="L1187">
        <f t="shared" si="73"/>
        <v>7</v>
      </c>
      <c r="M1187" s="9">
        <f t="shared" si="74"/>
        <v>0.24580170777988614</v>
      </c>
      <c r="N1187" s="9">
        <f t="shared" si="75"/>
        <v>1.8349883180442331E-4</v>
      </c>
    </row>
    <row r="1188" spans="1:14" x14ac:dyDescent="0.35">
      <c r="A1188" s="6">
        <v>45122</v>
      </c>
      <c r="B1188" t="s">
        <v>9</v>
      </c>
      <c r="C1188" t="s">
        <v>13</v>
      </c>
      <c r="D1188" t="s">
        <v>27</v>
      </c>
      <c r="E1188" t="s">
        <v>31</v>
      </c>
      <c r="F1188" s="4">
        <v>7</v>
      </c>
      <c r="G1188" s="4">
        <v>265104</v>
      </c>
      <c r="H1188" s="4">
        <v>194367.64</v>
      </c>
      <c r="I1188" s="8">
        <v>0.1</v>
      </c>
      <c r="J1188" s="4">
        <v>70736.36</v>
      </c>
      <c r="K1188" s="4" t="str">
        <f t="shared" si="72"/>
        <v>July</v>
      </c>
      <c r="L1188">
        <f t="shared" si="73"/>
        <v>7</v>
      </c>
      <c r="M1188" s="9">
        <f t="shared" si="74"/>
        <v>0.26682494417285291</v>
      </c>
      <c r="N1188" s="9">
        <f t="shared" si="75"/>
        <v>2.4549978958920342E-3</v>
      </c>
    </row>
    <row r="1189" spans="1:14" x14ac:dyDescent="0.35">
      <c r="A1189" s="6">
        <v>45291</v>
      </c>
      <c r="B1189" t="s">
        <v>12</v>
      </c>
      <c r="C1189" t="s">
        <v>21</v>
      </c>
      <c r="D1189" t="s">
        <v>26</v>
      </c>
      <c r="E1189" t="s">
        <v>43</v>
      </c>
      <c r="F1189" s="4">
        <v>2</v>
      </c>
      <c r="G1189" s="4">
        <v>3194.3</v>
      </c>
      <c r="H1189" s="4">
        <v>2264.87</v>
      </c>
      <c r="I1189" s="8">
        <v>0.15</v>
      </c>
      <c r="J1189" s="4">
        <v>929.43</v>
      </c>
      <c r="K1189" s="4" t="str">
        <f t="shared" si="72"/>
        <v>December</v>
      </c>
      <c r="L1189">
        <f t="shared" si="73"/>
        <v>12</v>
      </c>
      <c r="M1189" s="9">
        <f t="shared" si="74"/>
        <v>0.29096515668534573</v>
      </c>
      <c r="N1189" s="9">
        <f t="shared" si="75"/>
        <v>2.9580842910133102E-5</v>
      </c>
    </row>
    <row r="1190" spans="1:14" x14ac:dyDescent="0.35">
      <c r="A1190" s="6">
        <v>44951</v>
      </c>
      <c r="B1190" t="s">
        <v>11</v>
      </c>
      <c r="C1190" t="s">
        <v>17</v>
      </c>
      <c r="D1190" t="s">
        <v>26</v>
      </c>
      <c r="E1190" t="s">
        <v>34</v>
      </c>
      <c r="F1190" s="4">
        <v>2</v>
      </c>
      <c r="G1190" s="4">
        <v>62206.400000000001</v>
      </c>
      <c r="H1190" s="4">
        <v>47633.99</v>
      </c>
      <c r="I1190" s="8">
        <v>0.2</v>
      </c>
      <c r="J1190" s="4">
        <v>14572.41</v>
      </c>
      <c r="K1190" s="4" t="str">
        <f t="shared" si="72"/>
        <v>January</v>
      </c>
      <c r="L1190">
        <f t="shared" si="73"/>
        <v>1</v>
      </c>
      <c r="M1190" s="9">
        <f t="shared" si="74"/>
        <v>0.2342590151495666</v>
      </c>
      <c r="N1190" s="9">
        <f t="shared" si="75"/>
        <v>5.7606290780606189E-4</v>
      </c>
    </row>
    <row r="1191" spans="1:14" x14ac:dyDescent="0.35">
      <c r="A1191" s="6">
        <v>45015</v>
      </c>
      <c r="B1191" t="s">
        <v>11</v>
      </c>
      <c r="C1191" t="s">
        <v>16</v>
      </c>
      <c r="D1191" t="s">
        <v>27</v>
      </c>
      <c r="E1191" t="s">
        <v>40</v>
      </c>
      <c r="F1191" s="4">
        <v>1</v>
      </c>
      <c r="G1191" s="4">
        <v>27832.15</v>
      </c>
      <c r="H1191" s="4">
        <v>21797.08</v>
      </c>
      <c r="I1191" s="8">
        <v>0.05</v>
      </c>
      <c r="J1191" s="4">
        <v>6035.07</v>
      </c>
      <c r="K1191" s="4" t="str">
        <f t="shared" si="72"/>
        <v>March</v>
      </c>
      <c r="L1191">
        <f t="shared" si="73"/>
        <v>3</v>
      </c>
      <c r="M1191" s="9">
        <f t="shared" si="74"/>
        <v>0.2168380811399766</v>
      </c>
      <c r="N1191" s="9">
        <f t="shared" si="75"/>
        <v>2.5773986695090033E-4</v>
      </c>
    </row>
    <row r="1192" spans="1:14" x14ac:dyDescent="0.35">
      <c r="A1192" s="6">
        <v>45031</v>
      </c>
      <c r="B1192" t="s">
        <v>9</v>
      </c>
      <c r="C1192" t="s">
        <v>13</v>
      </c>
      <c r="D1192" t="s">
        <v>28</v>
      </c>
      <c r="E1192" t="s">
        <v>39</v>
      </c>
      <c r="F1192" s="4">
        <v>1</v>
      </c>
      <c r="G1192" s="4">
        <v>26506.799999999999</v>
      </c>
      <c r="H1192" s="4">
        <v>20398.66</v>
      </c>
      <c r="I1192" s="8">
        <v>0.1</v>
      </c>
      <c r="J1192" s="4">
        <v>6108.14</v>
      </c>
      <c r="K1192" s="4" t="str">
        <f t="shared" si="72"/>
        <v>April</v>
      </c>
      <c r="L1192">
        <f t="shared" si="73"/>
        <v>4</v>
      </c>
      <c r="M1192" s="9">
        <f t="shared" si="74"/>
        <v>0.23043671812516037</v>
      </c>
      <c r="N1192" s="9">
        <f t="shared" si="75"/>
        <v>2.4546645175791754E-4</v>
      </c>
    </row>
    <row r="1193" spans="1:14" x14ac:dyDescent="0.35">
      <c r="A1193" s="6">
        <v>44940</v>
      </c>
      <c r="B1193" t="s">
        <v>9</v>
      </c>
      <c r="C1193" t="s">
        <v>15</v>
      </c>
      <c r="D1193" t="s">
        <v>25</v>
      </c>
      <c r="E1193" t="s">
        <v>33</v>
      </c>
      <c r="F1193" s="4">
        <v>6</v>
      </c>
      <c r="G1193" s="4">
        <v>117197.7</v>
      </c>
      <c r="H1193" s="4">
        <v>90471.88</v>
      </c>
      <c r="I1193" s="8">
        <v>0.05</v>
      </c>
      <c r="J1193" s="4">
        <v>26725.82</v>
      </c>
      <c r="K1193" s="4" t="str">
        <f t="shared" si="72"/>
        <v>January</v>
      </c>
      <c r="L1193">
        <f t="shared" si="73"/>
        <v>1</v>
      </c>
      <c r="M1193" s="9">
        <f t="shared" si="74"/>
        <v>0.22804048202311139</v>
      </c>
      <c r="N1193" s="9">
        <f t="shared" si="75"/>
        <v>1.0853103193591415E-3</v>
      </c>
    </row>
    <row r="1194" spans="1:14" x14ac:dyDescent="0.35">
      <c r="A1194" s="6">
        <v>45196</v>
      </c>
      <c r="B1194" t="s">
        <v>10</v>
      </c>
      <c r="C1194" t="s">
        <v>14</v>
      </c>
      <c r="D1194" t="s">
        <v>28</v>
      </c>
      <c r="E1194" t="s">
        <v>36</v>
      </c>
      <c r="F1194" s="4">
        <v>1</v>
      </c>
      <c r="G1194" s="4">
        <v>28881.9</v>
      </c>
      <c r="H1194" s="4">
        <v>17933.82</v>
      </c>
      <c r="I1194" s="8">
        <v>0.05</v>
      </c>
      <c r="J1194" s="4">
        <v>10948.08</v>
      </c>
      <c r="K1194" s="4" t="str">
        <f t="shared" si="72"/>
        <v>September</v>
      </c>
      <c r="L1194">
        <f t="shared" si="73"/>
        <v>9</v>
      </c>
      <c r="M1194" s="9">
        <f t="shared" si="74"/>
        <v>0.37906370425768388</v>
      </c>
      <c r="N1194" s="9">
        <f t="shared" si="75"/>
        <v>2.6746108594877537E-4</v>
      </c>
    </row>
    <row r="1195" spans="1:14" x14ac:dyDescent="0.35">
      <c r="A1195" s="6">
        <v>45000</v>
      </c>
      <c r="B1195" t="s">
        <v>12</v>
      </c>
      <c r="C1195" t="s">
        <v>21</v>
      </c>
      <c r="D1195" t="s">
        <v>25</v>
      </c>
      <c r="E1195" t="s">
        <v>29</v>
      </c>
      <c r="F1195" s="4">
        <v>3</v>
      </c>
      <c r="G1195" s="4">
        <v>83342.55</v>
      </c>
      <c r="H1195" s="4">
        <v>50886.74</v>
      </c>
      <c r="I1195" s="8">
        <v>0.05</v>
      </c>
      <c r="J1195" s="4">
        <v>32455.81</v>
      </c>
      <c r="K1195" s="4" t="str">
        <f t="shared" si="72"/>
        <v>March</v>
      </c>
      <c r="L1195">
        <f t="shared" si="73"/>
        <v>3</v>
      </c>
      <c r="M1195" s="9">
        <f t="shared" si="74"/>
        <v>0.38942664941257499</v>
      </c>
      <c r="N1195" s="9">
        <f t="shared" si="75"/>
        <v>7.7179440856522973E-4</v>
      </c>
    </row>
    <row r="1196" spans="1:14" x14ac:dyDescent="0.35">
      <c r="A1196" s="6">
        <v>45288</v>
      </c>
      <c r="B1196" t="s">
        <v>9</v>
      </c>
      <c r="C1196" t="s">
        <v>15</v>
      </c>
      <c r="D1196" t="s">
        <v>27</v>
      </c>
      <c r="E1196" t="s">
        <v>31</v>
      </c>
      <c r="F1196" s="4">
        <v>4</v>
      </c>
      <c r="G1196" s="4">
        <v>97518.8</v>
      </c>
      <c r="H1196" s="4">
        <v>77355.850000000006</v>
      </c>
      <c r="I1196" s="8">
        <v>0.15</v>
      </c>
      <c r="J1196" s="4">
        <v>20162.95</v>
      </c>
      <c r="K1196" s="4" t="str">
        <f t="shared" si="72"/>
        <v>December</v>
      </c>
      <c r="L1196">
        <f t="shared" si="73"/>
        <v>12</v>
      </c>
      <c r="M1196" s="9">
        <f t="shared" si="74"/>
        <v>0.20675961968358922</v>
      </c>
      <c r="N1196" s="9">
        <f t="shared" si="75"/>
        <v>9.0307369488923633E-4</v>
      </c>
    </row>
    <row r="1197" spans="1:14" x14ac:dyDescent="0.35">
      <c r="A1197" s="6">
        <v>45141</v>
      </c>
      <c r="B1197" t="s">
        <v>12</v>
      </c>
      <c r="C1197" t="s">
        <v>23</v>
      </c>
      <c r="D1197" t="s">
        <v>26</v>
      </c>
      <c r="E1197" t="s">
        <v>30</v>
      </c>
      <c r="F1197" s="4">
        <v>7</v>
      </c>
      <c r="G1197" s="4">
        <v>220274.6</v>
      </c>
      <c r="H1197" s="4">
        <v>161807.97</v>
      </c>
      <c r="I1197" s="8">
        <v>0.05</v>
      </c>
      <c r="J1197" s="4">
        <v>58466.63</v>
      </c>
      <c r="K1197" s="4" t="str">
        <f t="shared" si="72"/>
        <v>August</v>
      </c>
      <c r="L1197">
        <f t="shared" si="73"/>
        <v>8</v>
      </c>
      <c r="M1197" s="9">
        <f t="shared" si="74"/>
        <v>0.26542610904752523</v>
      </c>
      <c r="N1197" s="9">
        <f t="shared" si="75"/>
        <v>2.0398548476011661E-3</v>
      </c>
    </row>
    <row r="1198" spans="1:14" x14ac:dyDescent="0.35">
      <c r="A1198" s="6">
        <v>45014</v>
      </c>
      <c r="B1198" t="s">
        <v>11</v>
      </c>
      <c r="C1198" t="s">
        <v>17</v>
      </c>
      <c r="D1198" t="s">
        <v>27</v>
      </c>
      <c r="E1198" t="s">
        <v>31</v>
      </c>
      <c r="F1198" s="4">
        <v>2</v>
      </c>
      <c r="G1198" s="4">
        <v>3425.4</v>
      </c>
      <c r="H1198" s="4">
        <v>1899.69</v>
      </c>
      <c r="I1198" s="8">
        <v>0.1</v>
      </c>
      <c r="J1198" s="4">
        <v>1525.71</v>
      </c>
      <c r="K1198" s="4" t="str">
        <f t="shared" si="72"/>
        <v>March</v>
      </c>
      <c r="L1198">
        <f t="shared" si="73"/>
        <v>3</v>
      </c>
      <c r="M1198" s="9">
        <f t="shared" si="74"/>
        <v>0.44541075494832721</v>
      </c>
      <c r="N1198" s="9">
        <f t="shared" si="75"/>
        <v>3.1720946468512642E-5</v>
      </c>
    </row>
    <row r="1199" spans="1:14" x14ac:dyDescent="0.35">
      <c r="A1199" s="6">
        <v>44978</v>
      </c>
      <c r="B1199" t="s">
        <v>9</v>
      </c>
      <c r="C1199" t="s">
        <v>15</v>
      </c>
      <c r="D1199" t="s">
        <v>28</v>
      </c>
      <c r="E1199" t="s">
        <v>42</v>
      </c>
      <c r="F1199" s="4">
        <v>2</v>
      </c>
      <c r="G1199" s="4">
        <v>73317.600000000006</v>
      </c>
      <c r="H1199" s="4">
        <v>41991.47</v>
      </c>
      <c r="I1199" s="8">
        <v>0.1</v>
      </c>
      <c r="J1199" s="4">
        <v>31326.13</v>
      </c>
      <c r="K1199" s="4" t="str">
        <f t="shared" si="72"/>
        <v>February</v>
      </c>
      <c r="L1199">
        <f t="shared" si="73"/>
        <v>2</v>
      </c>
      <c r="M1199" s="9">
        <f t="shared" si="74"/>
        <v>0.42726616801422851</v>
      </c>
      <c r="N1199" s="9">
        <f t="shared" si="75"/>
        <v>6.789582719681854E-4</v>
      </c>
    </row>
    <row r="1200" spans="1:14" x14ac:dyDescent="0.35">
      <c r="A1200" s="6">
        <v>45220</v>
      </c>
      <c r="B1200" t="s">
        <v>11</v>
      </c>
      <c r="C1200" t="s">
        <v>16</v>
      </c>
      <c r="D1200" t="s">
        <v>27</v>
      </c>
      <c r="E1200" t="s">
        <v>40</v>
      </c>
      <c r="F1200" s="4">
        <v>4</v>
      </c>
      <c r="G1200" s="4">
        <v>156339.20000000001</v>
      </c>
      <c r="H1200" s="4">
        <v>87693.04</v>
      </c>
      <c r="I1200" s="8">
        <v>0.2</v>
      </c>
      <c r="J1200" s="4">
        <v>68646.16</v>
      </c>
      <c r="K1200" s="4" t="str">
        <f t="shared" si="72"/>
        <v>October</v>
      </c>
      <c r="L1200">
        <f t="shared" si="73"/>
        <v>10</v>
      </c>
      <c r="M1200" s="9">
        <f t="shared" si="74"/>
        <v>0.43908475929261503</v>
      </c>
      <c r="N1200" s="9">
        <f t="shared" si="75"/>
        <v>1.4477805202691924E-3</v>
      </c>
    </row>
    <row r="1201" spans="1:14" x14ac:dyDescent="0.35">
      <c r="A1201" s="6">
        <v>44980</v>
      </c>
      <c r="B1201" t="s">
        <v>9</v>
      </c>
      <c r="C1201" t="s">
        <v>13</v>
      </c>
      <c r="D1201" t="s">
        <v>28</v>
      </c>
      <c r="E1201" t="s">
        <v>44</v>
      </c>
      <c r="F1201" s="4">
        <v>4</v>
      </c>
      <c r="G1201" s="4">
        <v>60713.8</v>
      </c>
      <c r="H1201" s="4">
        <v>48512.81</v>
      </c>
      <c r="I1201" s="8">
        <v>0.15</v>
      </c>
      <c r="J1201" s="4">
        <v>12200.99</v>
      </c>
      <c r="K1201" s="4" t="str">
        <f t="shared" si="72"/>
        <v>February</v>
      </c>
      <c r="L1201">
        <f t="shared" si="73"/>
        <v>2</v>
      </c>
      <c r="M1201" s="9">
        <f t="shared" si="74"/>
        <v>0.20095909002566137</v>
      </c>
      <c r="N1201" s="9">
        <f t="shared" si="75"/>
        <v>5.6224067253458942E-4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5D73-DFA7-4D32-8F97-7476079D5422}">
  <dimension ref="A2:N35"/>
  <sheetViews>
    <sheetView zoomScale="56" zoomScaleNormal="63" workbookViewId="0">
      <selection activeCell="G39" sqref="G39"/>
    </sheetView>
  </sheetViews>
  <sheetFormatPr defaultRowHeight="14.5" x14ac:dyDescent="0.35"/>
  <cols>
    <col min="1" max="1" width="18.08984375" bestFit="1" customWidth="1"/>
    <col min="2" max="2" width="19.26953125" bestFit="1" customWidth="1"/>
    <col min="3" max="5" width="11.36328125" bestFit="1" customWidth="1"/>
    <col min="6" max="6" width="12.36328125" bestFit="1" customWidth="1"/>
    <col min="7" max="7" width="13.26953125" bestFit="1" customWidth="1"/>
    <col min="8" max="8" width="10.7265625" bestFit="1" customWidth="1"/>
    <col min="9" max="9" width="18.7265625" bestFit="1" customWidth="1"/>
    <col min="10" max="10" width="17.6328125" bestFit="1" customWidth="1"/>
    <col min="11" max="11" width="18.7265625" bestFit="1" customWidth="1"/>
    <col min="12" max="12" width="18.1796875" bestFit="1" customWidth="1"/>
    <col min="13" max="13" width="13.26953125" bestFit="1" customWidth="1"/>
    <col min="14" max="14" width="18.7265625" bestFit="1" customWidth="1"/>
    <col min="15" max="15" width="12.90625" bestFit="1" customWidth="1"/>
    <col min="16" max="16" width="19.81640625" bestFit="1" customWidth="1"/>
  </cols>
  <sheetData>
    <row r="2" spans="1:14" x14ac:dyDescent="0.35">
      <c r="A2" t="s">
        <v>77</v>
      </c>
      <c r="B2" t="s">
        <v>78</v>
      </c>
      <c r="C2" t="s">
        <v>79</v>
      </c>
      <c r="D2" t="s">
        <v>80</v>
      </c>
      <c r="E2" t="s">
        <v>89</v>
      </c>
      <c r="G2" s="17" t="s">
        <v>83</v>
      </c>
      <c r="H2" t="s">
        <v>97</v>
      </c>
      <c r="J2" s="14" t="s">
        <v>84</v>
      </c>
      <c r="K2" t="s">
        <v>77</v>
      </c>
      <c r="M2" s="17" t="s">
        <v>83</v>
      </c>
      <c r="N2" t="s">
        <v>77</v>
      </c>
    </row>
    <row r="3" spans="1:14" x14ac:dyDescent="0.35">
      <c r="A3" s="13">
        <v>107985428.6000002</v>
      </c>
      <c r="B3" s="13">
        <v>73245433.509999916</v>
      </c>
      <c r="C3" s="13">
        <v>34739995.090000004</v>
      </c>
      <c r="D3" s="12">
        <v>0.32171002643962221</v>
      </c>
      <c r="E3" s="4">
        <v>4753</v>
      </c>
      <c r="G3" s="16">
        <v>0</v>
      </c>
      <c r="H3" s="19">
        <v>0.32619241102375607</v>
      </c>
      <c r="J3" s="15">
        <v>1</v>
      </c>
      <c r="K3" s="13">
        <v>7895798.1500000041</v>
      </c>
      <c r="M3" s="16">
        <v>0</v>
      </c>
      <c r="N3" s="13">
        <v>22167111</v>
      </c>
    </row>
    <row r="4" spans="1:14" x14ac:dyDescent="0.35">
      <c r="G4" s="16">
        <v>0.05</v>
      </c>
      <c r="H4" s="19">
        <v>0.32806320267503863</v>
      </c>
      <c r="J4" s="15">
        <v>2</v>
      </c>
      <c r="K4" s="13">
        <v>7550652.25</v>
      </c>
      <c r="M4" s="16">
        <v>0.05</v>
      </c>
      <c r="N4" s="13">
        <v>23809279.999999989</v>
      </c>
    </row>
    <row r="5" spans="1:14" x14ac:dyDescent="0.35">
      <c r="A5" s="14" t="s">
        <v>1</v>
      </c>
      <c r="B5" t="s">
        <v>77</v>
      </c>
      <c r="D5" s="14" t="s">
        <v>82</v>
      </c>
      <c r="E5" t="s">
        <v>77</v>
      </c>
      <c r="G5" s="16">
        <v>0.1</v>
      </c>
      <c r="H5" s="19">
        <v>0.31247246860804406</v>
      </c>
      <c r="J5" s="15">
        <v>3</v>
      </c>
      <c r="K5" s="13">
        <v>9974091.0000000056</v>
      </c>
      <c r="M5" s="16">
        <v>0.1</v>
      </c>
      <c r="N5" s="13">
        <v>23366603.699999984</v>
      </c>
    </row>
    <row r="6" spans="1:14" x14ac:dyDescent="0.35">
      <c r="A6" s="15" t="s">
        <v>9</v>
      </c>
      <c r="B6" s="13">
        <v>28558983.599999975</v>
      </c>
      <c r="D6" s="15" t="s">
        <v>26</v>
      </c>
      <c r="E6" s="13">
        <v>25904378.449999973</v>
      </c>
      <c r="G6" s="16">
        <v>0.15</v>
      </c>
      <c r="H6" s="19">
        <v>0.31813021091341454</v>
      </c>
      <c r="J6" s="15">
        <v>4</v>
      </c>
      <c r="K6" s="13">
        <v>6895182.8500000006</v>
      </c>
      <c r="M6" s="16">
        <v>0.15</v>
      </c>
      <c r="N6" s="13">
        <v>20430605.099999998</v>
      </c>
    </row>
    <row r="7" spans="1:14" x14ac:dyDescent="0.35">
      <c r="A7" s="15" t="s">
        <v>12</v>
      </c>
      <c r="B7" s="13">
        <v>27595442.699999992</v>
      </c>
      <c r="D7" s="15" t="s">
        <v>25</v>
      </c>
      <c r="E7" s="13">
        <v>26542346.150000006</v>
      </c>
      <c r="F7" s="13"/>
      <c r="G7" s="16">
        <v>0.2</v>
      </c>
      <c r="H7" s="19">
        <v>0.33054813605649214</v>
      </c>
      <c r="J7" s="15">
        <v>5</v>
      </c>
      <c r="K7" s="13">
        <v>7926196.8500000006</v>
      </c>
      <c r="M7" s="16">
        <v>0.2</v>
      </c>
      <c r="N7" s="13">
        <v>18211828.799999997</v>
      </c>
    </row>
    <row r="8" spans="1:14" x14ac:dyDescent="0.35">
      <c r="A8" s="15" t="s">
        <v>10</v>
      </c>
      <c r="B8" s="13">
        <v>26767584.400000006</v>
      </c>
      <c r="D8" s="15" t="s">
        <v>27</v>
      </c>
      <c r="E8" s="13">
        <v>29452170.899999987</v>
      </c>
      <c r="G8" s="16" t="s">
        <v>81</v>
      </c>
      <c r="H8" s="19">
        <v>0.32297084540652982</v>
      </c>
      <c r="J8" s="15">
        <v>6</v>
      </c>
      <c r="K8" s="18">
        <v>10647209.300000001</v>
      </c>
      <c r="M8" s="16" t="s">
        <v>81</v>
      </c>
      <c r="N8" s="13">
        <v>107985428.59999996</v>
      </c>
    </row>
    <row r="9" spans="1:14" x14ac:dyDescent="0.35">
      <c r="A9" s="15" t="s">
        <v>11</v>
      </c>
      <c r="B9" s="13">
        <v>25063417.899999991</v>
      </c>
      <c r="D9" s="15" t="s">
        <v>28</v>
      </c>
      <c r="E9" s="13">
        <v>26086533.09999999</v>
      </c>
      <c r="J9" s="15">
        <v>7</v>
      </c>
      <c r="K9" s="18">
        <v>10129542.699999996</v>
      </c>
    </row>
    <row r="10" spans="1:14" x14ac:dyDescent="0.35">
      <c r="A10" s="15" t="s">
        <v>81</v>
      </c>
      <c r="B10" s="13">
        <v>107985428.59999996</v>
      </c>
      <c r="D10" s="15" t="s">
        <v>81</v>
      </c>
      <c r="E10" s="13">
        <v>107985428.59999996</v>
      </c>
      <c r="J10" s="15">
        <v>8</v>
      </c>
      <c r="K10" s="18">
        <v>11254862.850000001</v>
      </c>
    </row>
    <row r="11" spans="1:14" x14ac:dyDescent="0.35">
      <c r="J11" s="15">
        <v>9</v>
      </c>
      <c r="K11" s="13">
        <v>6814181.3500000006</v>
      </c>
    </row>
    <row r="12" spans="1:14" x14ac:dyDescent="0.35">
      <c r="E12" s="12"/>
      <c r="J12" s="15">
        <v>10</v>
      </c>
      <c r="K12" s="13">
        <v>9561440.9999999981</v>
      </c>
    </row>
    <row r="13" spans="1:14" x14ac:dyDescent="0.35">
      <c r="A13" s="14" t="s">
        <v>77</v>
      </c>
      <c r="B13" s="14" t="s">
        <v>82</v>
      </c>
      <c r="H13" s="14" t="s">
        <v>1</v>
      </c>
      <c r="I13" t="s">
        <v>77</v>
      </c>
      <c r="J13" s="15">
        <v>11</v>
      </c>
      <c r="K13" s="13">
        <v>10909981.399999999</v>
      </c>
    </row>
    <row r="14" spans="1:14" x14ac:dyDescent="0.35">
      <c r="A14" s="14" t="s">
        <v>1</v>
      </c>
      <c r="B14" t="s">
        <v>26</v>
      </c>
      <c r="C14" t="s">
        <v>25</v>
      </c>
      <c r="D14" t="s">
        <v>27</v>
      </c>
      <c r="E14" t="s">
        <v>28</v>
      </c>
      <c r="F14" t="s">
        <v>81</v>
      </c>
      <c r="H14" s="15" t="s">
        <v>9</v>
      </c>
      <c r="I14" s="13">
        <v>28558983.599999975</v>
      </c>
      <c r="J14" s="15">
        <v>12</v>
      </c>
      <c r="K14" s="13">
        <v>8426288.9000000004</v>
      </c>
    </row>
    <row r="15" spans="1:14" x14ac:dyDescent="0.35">
      <c r="A15" s="15" t="s">
        <v>9</v>
      </c>
      <c r="B15" s="13">
        <v>5717675.450000002</v>
      </c>
      <c r="C15" s="13">
        <v>6515583.4500000011</v>
      </c>
      <c r="D15" s="13">
        <v>8044987.5000000009</v>
      </c>
      <c r="E15" s="13">
        <v>8280737.200000003</v>
      </c>
      <c r="F15" s="13">
        <v>28558983.600000005</v>
      </c>
      <c r="H15" s="15" t="s">
        <v>12</v>
      </c>
      <c r="I15" s="13">
        <v>27595442.699999992</v>
      </c>
      <c r="J15" s="15" t="s">
        <v>81</v>
      </c>
      <c r="K15" s="13">
        <v>107985428.59999999</v>
      </c>
    </row>
    <row r="16" spans="1:14" x14ac:dyDescent="0.35">
      <c r="A16" s="15" t="s">
        <v>12</v>
      </c>
      <c r="B16" s="13">
        <v>6953636.2500000009</v>
      </c>
      <c r="C16" s="13">
        <v>5451286.4499999993</v>
      </c>
      <c r="D16" s="13">
        <v>8727111.2000000011</v>
      </c>
      <c r="E16" s="13">
        <v>6463408.8000000017</v>
      </c>
      <c r="F16" s="13">
        <v>27595442.699999999</v>
      </c>
      <c r="H16" s="15" t="s">
        <v>10</v>
      </c>
      <c r="I16" s="13">
        <v>26767584.400000006</v>
      </c>
    </row>
    <row r="17" spans="1:11" x14ac:dyDescent="0.35">
      <c r="A17" s="15" t="s">
        <v>10</v>
      </c>
      <c r="B17" s="13">
        <v>6401004.4500000002</v>
      </c>
      <c r="C17" s="13">
        <v>7383623.9999999991</v>
      </c>
      <c r="D17" s="13">
        <v>7047988.9500000002</v>
      </c>
      <c r="E17" s="13">
        <v>5934967.0000000009</v>
      </c>
      <c r="F17" s="13">
        <v>26767584.399999999</v>
      </c>
      <c r="H17" s="15" t="s">
        <v>11</v>
      </c>
      <c r="I17" s="13">
        <v>25063417.899999991</v>
      </c>
    </row>
    <row r="18" spans="1:11" x14ac:dyDescent="0.35">
      <c r="A18" s="15" t="s">
        <v>11</v>
      </c>
      <c r="B18" s="13">
        <v>6832062.3000000017</v>
      </c>
      <c r="C18" s="13">
        <v>7191852.2500000009</v>
      </c>
      <c r="D18" s="13">
        <v>5632083.2500000009</v>
      </c>
      <c r="E18" s="13">
        <v>5407420.0999999987</v>
      </c>
      <c r="F18" s="13">
        <v>25063417.900000002</v>
      </c>
      <c r="H18" s="15" t="s">
        <v>81</v>
      </c>
      <c r="I18" s="13">
        <v>107985428.59999996</v>
      </c>
      <c r="K18" s="13">
        <f>AVERAGE(I14:I17)</f>
        <v>26996357.149999991</v>
      </c>
    </row>
    <row r="19" spans="1:11" x14ac:dyDescent="0.35">
      <c r="A19" s="15" t="s">
        <v>81</v>
      </c>
      <c r="B19" s="13">
        <v>25904378.450000003</v>
      </c>
      <c r="C19" s="13">
        <v>26542346.149999999</v>
      </c>
      <c r="D19" s="13">
        <v>29452170.900000002</v>
      </c>
      <c r="E19" s="13">
        <v>26086533.100000001</v>
      </c>
      <c r="F19" s="13">
        <v>107985428.60000001</v>
      </c>
    </row>
    <row r="25" spans="1:11" x14ac:dyDescent="0.35">
      <c r="E25" s="13"/>
      <c r="F25" s="13"/>
    </row>
    <row r="26" spans="1:11" x14ac:dyDescent="0.35">
      <c r="E26" s="13"/>
      <c r="F26" s="13"/>
    </row>
    <row r="27" spans="1:11" x14ac:dyDescent="0.35">
      <c r="A27" t="s">
        <v>90</v>
      </c>
      <c r="E27" s="13"/>
      <c r="F27" s="13"/>
    </row>
    <row r="28" spans="1:11" x14ac:dyDescent="0.35">
      <c r="A28" t="s">
        <v>91</v>
      </c>
      <c r="E28" s="13"/>
      <c r="F28" s="13"/>
    </row>
    <row r="29" spans="1:11" x14ac:dyDescent="0.35">
      <c r="A29" t="s">
        <v>93</v>
      </c>
      <c r="E29" s="13"/>
      <c r="F29" s="13"/>
    </row>
    <row r="30" spans="1:11" x14ac:dyDescent="0.35">
      <c r="A30" t="s">
        <v>92</v>
      </c>
      <c r="E30" s="13"/>
      <c r="F30" s="13"/>
    </row>
    <row r="31" spans="1:11" x14ac:dyDescent="0.35">
      <c r="E31" s="13"/>
      <c r="F31" s="13"/>
    </row>
    <row r="32" spans="1:11" x14ac:dyDescent="0.35">
      <c r="A32" t="s">
        <v>100</v>
      </c>
      <c r="C32" s="12"/>
      <c r="E32" s="13"/>
      <c r="F32" s="13"/>
    </row>
    <row r="33" spans="1:6" x14ac:dyDescent="0.35">
      <c r="A33" s="19">
        <v>1200</v>
      </c>
      <c r="F33" s="13"/>
    </row>
    <row r="34" spans="1:6" x14ac:dyDescent="0.35">
      <c r="F34" s="13"/>
    </row>
    <row r="35" spans="1:6" x14ac:dyDescent="0.35">
      <c r="F35" s="13"/>
    </row>
  </sheetData>
  <conditionalFormatting pivot="1" sqref="B6:B9">
    <cfRule type="top10" dxfId="16" priority="10" bottom="1" rank="1"/>
  </conditionalFormatting>
  <conditionalFormatting pivot="1" sqref="E6:E9">
    <cfRule type="top10" dxfId="15" priority="7" bottom="1" rank="1"/>
  </conditionalFormatting>
  <conditionalFormatting sqref="C32">
    <cfRule type="iconSet" priority="1">
      <iconSet iconSet="3Arrows">
        <cfvo type="percent" val="0"/>
        <cfvo type="percent" val="33"/>
        <cfvo type="percent" val="67"/>
      </iconSet>
    </cfRule>
  </conditionalFormatting>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29C3B-75B2-4743-BFF6-63E587BCF85F}">
  <dimension ref="A1:T39"/>
  <sheetViews>
    <sheetView tabSelected="1" zoomScale="56" zoomScaleNormal="100" workbookViewId="0">
      <selection activeCell="U12" sqref="U12"/>
    </sheetView>
  </sheetViews>
  <sheetFormatPr defaultRowHeight="14.5" x14ac:dyDescent="0.35"/>
  <cols>
    <col min="1" max="1" width="12.1796875" bestFit="1" customWidth="1"/>
    <col min="11" max="11" width="9.1796875" customWidth="1"/>
    <col min="13" max="13" width="18.90625" bestFit="1" customWidth="1"/>
  </cols>
  <sheetData>
    <row r="1" spans="1:20" ht="14.5" customHeight="1" x14ac:dyDescent="0.35">
      <c r="A1" s="43" t="s">
        <v>94</v>
      </c>
      <c r="B1" s="44"/>
      <c r="C1" s="44"/>
      <c r="D1" s="44"/>
      <c r="E1" s="44"/>
      <c r="F1" s="44"/>
      <c r="G1" s="44"/>
      <c r="H1" s="44"/>
      <c r="I1" s="44"/>
      <c r="J1" s="44"/>
      <c r="K1" s="44"/>
      <c r="L1" s="44"/>
      <c r="M1" s="44"/>
      <c r="N1" s="44"/>
      <c r="O1" s="44"/>
      <c r="P1" s="44"/>
      <c r="Q1" s="44"/>
      <c r="R1" s="44"/>
      <c r="S1" s="44"/>
      <c r="T1" s="45"/>
    </row>
    <row r="2" spans="1:20" ht="14.5" customHeight="1" x14ac:dyDescent="0.35">
      <c r="A2" s="46"/>
      <c r="B2" s="47"/>
      <c r="C2" s="47"/>
      <c r="D2" s="47"/>
      <c r="E2" s="47"/>
      <c r="F2" s="47"/>
      <c r="G2" s="47"/>
      <c r="H2" s="47"/>
      <c r="I2" s="47"/>
      <c r="J2" s="47"/>
      <c r="K2" s="47"/>
      <c r="L2" s="47"/>
      <c r="M2" s="47"/>
      <c r="N2" s="47"/>
      <c r="O2" s="47"/>
      <c r="P2" s="47"/>
      <c r="Q2" s="47"/>
      <c r="R2" s="47"/>
      <c r="S2" s="47"/>
      <c r="T2" s="48"/>
    </row>
    <row r="3" spans="1:20" ht="14.5" customHeight="1" x14ac:dyDescent="0.35">
      <c r="A3" s="46"/>
      <c r="B3" s="47"/>
      <c r="C3" s="47"/>
      <c r="D3" s="47"/>
      <c r="E3" s="47"/>
      <c r="F3" s="47"/>
      <c r="G3" s="47"/>
      <c r="H3" s="47"/>
      <c r="I3" s="47"/>
      <c r="J3" s="47"/>
      <c r="K3" s="47"/>
      <c r="L3" s="47"/>
      <c r="M3" s="47"/>
      <c r="N3" s="47"/>
      <c r="O3" s="47"/>
      <c r="P3" s="47"/>
      <c r="Q3" s="47"/>
      <c r="R3" s="47"/>
      <c r="S3" s="47"/>
      <c r="T3" s="48"/>
    </row>
    <row r="4" spans="1:20" ht="14.5" customHeight="1" thickBot="1" x14ac:dyDescent="0.4">
      <c r="A4" s="49"/>
      <c r="B4" s="50"/>
      <c r="C4" s="50"/>
      <c r="D4" s="50"/>
      <c r="E4" s="50"/>
      <c r="F4" s="50"/>
      <c r="G4" s="50"/>
      <c r="H4" s="50"/>
      <c r="I4" s="50"/>
      <c r="J4" s="50"/>
      <c r="K4" s="50"/>
      <c r="L4" s="50"/>
      <c r="M4" s="50"/>
      <c r="N4" s="50"/>
      <c r="O4" s="50"/>
      <c r="P4" s="50"/>
      <c r="Q4" s="50"/>
      <c r="R4" s="50"/>
      <c r="S4" s="50"/>
      <c r="T4" s="51"/>
    </row>
    <row r="5" spans="1:20" ht="15" thickBot="1" x14ac:dyDescent="0.4"/>
    <row r="6" spans="1:20" ht="18.5" x14ac:dyDescent="0.45">
      <c r="A6" s="34" t="s">
        <v>95</v>
      </c>
      <c r="B6" s="35"/>
      <c r="C6" s="36"/>
      <c r="H6" s="20"/>
      <c r="I6" s="20"/>
      <c r="L6" s="20"/>
      <c r="M6" s="52" t="s">
        <v>98</v>
      </c>
      <c r="N6" s="53"/>
      <c r="O6" s="20"/>
      <c r="Q6" s="20"/>
      <c r="R6" s="34" t="s">
        <v>101</v>
      </c>
      <c r="S6" s="35"/>
      <c r="T6" s="36"/>
    </row>
    <row r="7" spans="1:20" ht="14.5" customHeight="1" thickBot="1" x14ac:dyDescent="0.4">
      <c r="A7" s="37">
        <f>GETPIVOTDATA("Sum of Sales Amount",Pivot_calculations!$A$2)</f>
        <v>107985428.6000002</v>
      </c>
      <c r="B7" s="38"/>
      <c r="C7" s="39"/>
      <c r="G7" s="21"/>
      <c r="H7" s="21"/>
      <c r="I7" s="21"/>
      <c r="M7" s="54">
        <f>Pivot_calculations!K18</f>
        <v>26996357.149999991</v>
      </c>
      <c r="N7" s="55"/>
      <c r="O7" s="21"/>
      <c r="R7" s="37">
        <f>GETPIVOTDATA("Sum of Sales Amount",Pivot_calculations!A5,"Region",Pivot_calculations!A6)</f>
        <v>28558983.599999975</v>
      </c>
      <c r="S7" s="38"/>
      <c r="T7" s="39"/>
    </row>
    <row r="8" spans="1:20" ht="14.5" customHeight="1" x14ac:dyDescent="0.45">
      <c r="A8" s="37"/>
      <c r="B8" s="38"/>
      <c r="C8" s="39"/>
      <c r="G8" s="34" t="s">
        <v>96</v>
      </c>
      <c r="H8" s="35"/>
      <c r="I8" s="36"/>
      <c r="L8" s="21"/>
      <c r="M8" s="54"/>
      <c r="N8" s="55"/>
      <c r="O8" s="24"/>
      <c r="Q8" s="21"/>
      <c r="R8" s="37"/>
      <c r="S8" s="38"/>
      <c r="T8" s="39"/>
    </row>
    <row r="9" spans="1:20" ht="14.5" customHeight="1" thickBot="1" x14ac:dyDescent="0.4">
      <c r="A9" s="40"/>
      <c r="B9" s="41"/>
      <c r="C9" s="42"/>
      <c r="G9" s="58">
        <f>A12/A7</f>
        <v>0.32171002643962221</v>
      </c>
      <c r="H9" s="59"/>
      <c r="I9" s="60"/>
      <c r="L9" s="21"/>
      <c r="M9" s="56"/>
      <c r="N9" s="57"/>
      <c r="O9" s="23"/>
      <c r="Q9" s="21"/>
      <c r="R9" s="40"/>
      <c r="S9" s="41"/>
      <c r="T9" s="42"/>
    </row>
    <row r="10" spans="1:20" ht="15" customHeight="1" thickBot="1" x14ac:dyDescent="0.4">
      <c r="G10" s="58"/>
      <c r="H10" s="59"/>
      <c r="I10" s="60"/>
      <c r="M10" s="23"/>
      <c r="N10" s="23"/>
      <c r="O10" s="23"/>
    </row>
    <row r="11" spans="1:20" ht="19" customHeight="1" thickBot="1" x14ac:dyDescent="0.5">
      <c r="A11" s="34" t="s">
        <v>49</v>
      </c>
      <c r="B11" s="35"/>
      <c r="C11" s="36"/>
      <c r="G11" s="61"/>
      <c r="H11" s="62"/>
      <c r="I11" s="63"/>
      <c r="M11" s="52" t="s">
        <v>99</v>
      </c>
      <c r="N11" s="53"/>
      <c r="O11" s="23"/>
      <c r="R11" s="34" t="s">
        <v>102</v>
      </c>
      <c r="S11" s="35"/>
      <c r="T11" s="36"/>
    </row>
    <row r="12" spans="1:20" ht="23.5" customHeight="1" x14ac:dyDescent="0.35">
      <c r="A12" s="37">
        <f>GETPIVOTDATA("Sum of Profit",Pivot_calculations!$A$2)</f>
        <v>34739995.090000004</v>
      </c>
      <c r="B12" s="38"/>
      <c r="C12" s="39"/>
      <c r="M12" s="37">
        <f>A7/GETPIVOTDATA("Order Date",Pivot_calculations!$A$32)</f>
        <v>89987.857166666829</v>
      </c>
      <c r="N12" s="39"/>
      <c r="O12" s="25"/>
      <c r="R12" s="28">
        <f>GETPIVOTDATA("Sum of Sales Amount",Pivot_calculations!A5,"Region",Pivot_calculations!A9)</f>
        <v>25063417.899999991</v>
      </c>
      <c r="S12" s="29"/>
      <c r="T12" s="30"/>
    </row>
    <row r="13" spans="1:20" ht="14.5" customHeight="1" x14ac:dyDescent="0.35">
      <c r="A13" s="37"/>
      <c r="B13" s="38"/>
      <c r="C13" s="39"/>
      <c r="M13" s="37"/>
      <c r="N13" s="39"/>
      <c r="R13" s="28"/>
      <c r="S13" s="29"/>
      <c r="T13" s="30"/>
    </row>
    <row r="14" spans="1:20" ht="15" customHeight="1" thickBot="1" x14ac:dyDescent="0.4">
      <c r="A14" s="40"/>
      <c r="B14" s="41"/>
      <c r="C14" s="42"/>
      <c r="M14" s="40"/>
      <c r="N14" s="42"/>
      <c r="R14" s="31"/>
      <c r="S14" s="32"/>
      <c r="T14" s="33"/>
    </row>
    <row r="34" spans="16:16" x14ac:dyDescent="0.35">
      <c r="P34" s="22"/>
    </row>
    <row r="35" spans="16:16" x14ac:dyDescent="0.35">
      <c r="P35" s="22"/>
    </row>
    <row r="36" spans="16:16" x14ac:dyDescent="0.35">
      <c r="P36" s="22"/>
    </row>
    <row r="37" spans="16:16" x14ac:dyDescent="0.35">
      <c r="P37" s="22"/>
    </row>
    <row r="38" spans="16:16" x14ac:dyDescent="0.35">
      <c r="P38" s="22"/>
    </row>
    <row r="39" spans="16:16" x14ac:dyDescent="0.35">
      <c r="P39" s="22"/>
    </row>
  </sheetData>
  <mergeCells count="15">
    <mergeCell ref="R12:T14"/>
    <mergeCell ref="R6:T6"/>
    <mergeCell ref="R7:T9"/>
    <mergeCell ref="A1:T4"/>
    <mergeCell ref="R11:T11"/>
    <mergeCell ref="M6:N6"/>
    <mergeCell ref="M7:N9"/>
    <mergeCell ref="M11:N11"/>
    <mergeCell ref="M12:N14"/>
    <mergeCell ref="A6:C6"/>
    <mergeCell ref="A7:C9"/>
    <mergeCell ref="A12:C14"/>
    <mergeCell ref="G8:I8"/>
    <mergeCell ref="G9:I11"/>
    <mergeCell ref="A11:C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B481-D0D5-40D6-98B4-630E29B210C4}">
  <dimension ref="A1:N22"/>
  <sheetViews>
    <sheetView topLeftCell="A3" workbookViewId="0">
      <selection activeCell="P17" sqref="P17"/>
    </sheetView>
  </sheetViews>
  <sheetFormatPr defaultRowHeight="14.5" x14ac:dyDescent="0.35"/>
  <sheetData>
    <row r="1" spans="1:14" ht="15.5" x14ac:dyDescent="0.35">
      <c r="A1" s="64" t="s">
        <v>103</v>
      </c>
      <c r="B1" s="64"/>
      <c r="C1" s="64"/>
      <c r="D1" s="64"/>
      <c r="E1" s="64"/>
      <c r="F1" s="64"/>
      <c r="G1" s="64"/>
      <c r="H1" s="64"/>
      <c r="I1" s="64"/>
      <c r="J1" s="64"/>
      <c r="K1" s="64"/>
      <c r="L1" s="64"/>
      <c r="M1" s="64"/>
      <c r="N1" s="64"/>
    </row>
    <row r="2" spans="1:14" x14ac:dyDescent="0.35">
      <c r="A2" t="s">
        <v>107</v>
      </c>
    </row>
    <row r="3" spans="1:14" x14ac:dyDescent="0.35">
      <c r="A3" t="s">
        <v>87</v>
      </c>
    </row>
    <row r="4" spans="1:14" x14ac:dyDescent="0.35">
      <c r="A4" t="s">
        <v>88</v>
      </c>
    </row>
    <row r="5" spans="1:14" x14ac:dyDescent="0.35">
      <c r="A5" t="s">
        <v>86</v>
      </c>
    </row>
    <row r="6" spans="1:14" x14ac:dyDescent="0.35">
      <c r="A6" t="s">
        <v>85</v>
      </c>
    </row>
    <row r="8" spans="1:14" ht="15.5" x14ac:dyDescent="0.35">
      <c r="A8" s="64" t="s">
        <v>104</v>
      </c>
      <c r="B8" s="64"/>
      <c r="C8" s="64"/>
      <c r="D8" s="64"/>
      <c r="E8" s="64"/>
      <c r="F8" s="64"/>
      <c r="G8" s="64"/>
      <c r="H8" s="64"/>
      <c r="I8" s="64"/>
      <c r="J8" s="64"/>
      <c r="K8" s="64"/>
      <c r="L8" s="64"/>
      <c r="M8" s="64"/>
      <c r="N8" s="64"/>
    </row>
    <row r="9" spans="1:14" x14ac:dyDescent="0.35">
      <c r="A9" t="s">
        <v>90</v>
      </c>
    </row>
    <row r="10" spans="1:14" x14ac:dyDescent="0.35">
      <c r="A10" t="s">
        <v>115</v>
      </c>
    </row>
    <row r="11" spans="1:14" x14ac:dyDescent="0.35">
      <c r="A11" t="s">
        <v>108</v>
      </c>
    </row>
    <row r="12" spans="1:14" x14ac:dyDescent="0.35">
      <c r="A12" t="s">
        <v>92</v>
      </c>
    </row>
    <row r="14" spans="1:14" ht="15.5" x14ac:dyDescent="0.35">
      <c r="A14" s="64" t="s">
        <v>105</v>
      </c>
      <c r="B14" s="64"/>
      <c r="C14" s="64"/>
      <c r="D14" s="64"/>
      <c r="E14" s="64"/>
      <c r="F14" s="64"/>
      <c r="G14" s="64"/>
      <c r="H14" s="64"/>
      <c r="I14" s="64"/>
      <c r="J14" s="64"/>
      <c r="K14" s="64"/>
      <c r="L14" s="64"/>
      <c r="M14" s="64"/>
      <c r="N14" s="64"/>
    </row>
    <row r="15" spans="1:14" x14ac:dyDescent="0.35">
      <c r="A15" s="26" t="s">
        <v>106</v>
      </c>
      <c r="B15" s="26"/>
      <c r="C15" s="26"/>
      <c r="D15" s="26"/>
      <c r="E15" s="26"/>
      <c r="F15" s="26"/>
      <c r="G15" s="26"/>
      <c r="H15" s="26"/>
      <c r="I15" s="26"/>
      <c r="J15" s="26"/>
      <c r="K15" s="26"/>
      <c r="L15" s="26"/>
      <c r="M15" s="26"/>
      <c r="N15" s="26"/>
    </row>
    <row r="16" spans="1:14" x14ac:dyDescent="0.35">
      <c r="A16" t="s">
        <v>109</v>
      </c>
    </row>
    <row r="17" spans="1:14" x14ac:dyDescent="0.35">
      <c r="A17" t="s">
        <v>110</v>
      </c>
    </row>
    <row r="18" spans="1:14" x14ac:dyDescent="0.35">
      <c r="A18" t="s">
        <v>111</v>
      </c>
    </row>
    <row r="20" spans="1:14" x14ac:dyDescent="0.35">
      <c r="A20" s="65" t="s">
        <v>112</v>
      </c>
      <c r="B20" s="65"/>
      <c r="C20" s="65"/>
      <c r="D20" s="65"/>
      <c r="E20" s="65"/>
      <c r="F20" s="65"/>
      <c r="G20" s="65"/>
      <c r="H20" s="65"/>
      <c r="I20" s="65"/>
      <c r="J20" s="65"/>
      <c r="K20" s="65"/>
      <c r="L20" s="65"/>
      <c r="M20" s="65"/>
      <c r="N20" s="65"/>
    </row>
    <row r="21" spans="1:14" x14ac:dyDescent="0.35">
      <c r="A21" t="s">
        <v>113</v>
      </c>
    </row>
    <row r="22" spans="1:14" x14ac:dyDescent="0.35">
      <c r="A22" t="s">
        <v>114</v>
      </c>
    </row>
  </sheetData>
  <mergeCells count="5">
    <mergeCell ref="A1:N1"/>
    <mergeCell ref="A8:N8"/>
    <mergeCell ref="A14:N14"/>
    <mergeCell ref="A15:N15"/>
    <mergeCell ref="A20:N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Project_Blueprint</vt:lpstr>
      <vt:lpstr>Raw_Data</vt:lpstr>
      <vt:lpstr>Pivot_calculations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soumya das</cp:lastModifiedBy>
  <dcterms:created xsi:type="dcterms:W3CDTF">2026-02-01T06:21:52Z</dcterms:created>
  <dcterms:modified xsi:type="dcterms:W3CDTF">2026-02-28T05:45:13Z</dcterms:modified>
</cp:coreProperties>
</file>